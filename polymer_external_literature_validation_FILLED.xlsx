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README" sheetId="2" state="visible" r:id="rId2"/>
    <sheet name="Master_Literature" sheetId="3" state="visible" r:id="rId3"/>
    <sheet name="HighQuality_Panel" sheetId="4" state="visible" r:id="rId4"/>
    <sheet name="FFV_Rg_Conditioned" sheetId="5" state="visible" r:id="rId5"/>
    <sheet name="Industrial_Copolymers" sheetId="6" state="visible" r:id="rId6"/>
    <sheet name="Sources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rlito"/>
      <sz val="11"/>
    </font>
    <font>
      <name val="Carlito"/>
      <b val="1"/>
      <color rgb="FFFFFFFF"/>
      <sz val="15"/>
    </font>
    <font>
      <name val="Carlito"/>
      <b val="1"/>
      <color rgb="FF17324D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sz val="10"/>
    </font>
    <font>
      <name val="Carlito"/>
      <b val="1"/>
      <color rgb="FF17324D"/>
      <sz val="10"/>
    </font>
    <font>
      <name val="Carlito"/>
      <b val="1"/>
      <color rgb="FF17324D"/>
      <sz val="14"/>
    </font>
  </fonts>
  <fills count="11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CEAF7"/>
      </patternFill>
    </fill>
    <fill>
      <patternFill patternType="solid">
        <fgColor rgb="FF2F75B5"/>
      </patternFill>
    </fill>
    <fill>
      <patternFill patternType="solid">
        <fgColor rgb="FFE5F3EE"/>
      </patternFill>
    </fill>
    <fill>
      <patternFill patternType="solid">
        <fgColor rgb="FFFFF4CC"/>
      </patternFill>
    </fill>
    <fill>
      <patternFill patternType="solid">
        <fgColor rgb="FF2A9D8F"/>
      </patternFill>
    </fill>
    <fill>
      <patternFill patternType="solid">
        <fgColor rgb="FFFFFDF2"/>
      </patternFill>
    </fill>
    <fill>
      <patternFill patternType="solid">
        <fgColor rgb="FFF4F9FF"/>
      </patternFill>
    </fill>
    <fill>
      <patternFill patternType="solid">
        <fgColor rgb="FFF4A261"/>
      </patternFill>
    </fill>
  </fills>
  <borders count="2">
    <border/>
    <border/>
  </borders>
  <cellStyleXfs count="1">
    <xf numFmtId="0" fontId="0" fillId="0" borderId="1"/>
  </cellStyleXfs>
  <cellXfs count="16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1" pivotButton="0" quotePrefix="0" xfId="0"/>
    <xf numFmtId="0" fontId="2" fillId="5" borderId="0" pivotButton="0" quotePrefix="0" xfId="0"/>
    <xf numFmtId="0" fontId="2" fillId="5" borderId="1" pivotButton="0" quotePrefix="0" xfId="0"/>
    <xf numFmtId="0" fontId="2" fillId="5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0" fillId="6" borderId="0" pivotButton="0" quotePrefix="0" xfId="0"/>
    <xf numFmtId="0" fontId="0" fillId="6" borderId="1" pivotButton="0" quotePrefix="0" xfId="0"/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7" borderId="0" pivotButton="0" quotePrefix="0" xfId="0"/>
    <xf numFmtId="0" fontId="0" fillId="7" borderId="1" pivotButton="0" quotePrefix="0" xfId="0"/>
    <xf numFmtId="0" fontId="1" fillId="7" borderId="0" pivotButton="0" quotePrefix="0" xfId="0"/>
    <xf numFmtId="0" fontId="1" fillId="7" borderId="1" pivotButton="0" quotePrefix="0" xfId="0"/>
    <xf numFmtId="0" fontId="1" fillId="7" borderId="0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3" fillId="7" borderId="0" pivotButton="0" quotePrefix="0" xfId="0"/>
    <xf numFmtId="0" fontId="3" fillId="7" borderId="1" pivotButton="0" quotePrefix="0" xfId="0"/>
    <xf numFmtId="0" fontId="3" fillId="7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9" borderId="1" pivotButton="0" quotePrefix="0" xfId="0"/>
    <xf numFmtId="0" fontId="0" fillId="8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2" fontId="0" fillId="8" borderId="0" applyAlignment="1" pivotButton="0" quotePrefix="0" xfId="0">
      <alignment wrapText="1"/>
    </xf>
    <xf numFmtId="2" fontId="0" fillId="8" borderId="1" applyAlignment="1" pivotButton="0" quotePrefix="0" xfId="0">
      <alignment wrapText="1"/>
    </xf>
    <xf numFmtId="2" fontId="0" fillId="9" borderId="0" applyAlignment="1" pivotButton="0" quotePrefix="0" xfId="0">
      <alignment wrapText="1"/>
    </xf>
    <xf numFmtId="2" fontId="0" fillId="9" borderId="1" applyAlignment="1" pivotButton="0" quotePrefix="0" xfId="0">
      <alignment wrapText="1"/>
    </xf>
    <xf numFmtId="164" fontId="0" fillId="8" borderId="0" applyAlignment="1" pivotButton="0" quotePrefix="0" xfId="0">
      <alignment wrapText="1"/>
    </xf>
    <xf numFmtId="164" fontId="0" fillId="8" borderId="1" applyAlignment="1" pivotButton="0" quotePrefix="0" xfId="0">
      <alignment wrapText="1"/>
    </xf>
    <xf numFmtId="164" fontId="0" fillId="9" borderId="0" applyAlignment="1" pivotButton="0" quotePrefix="0" xfId="0">
      <alignment wrapText="1"/>
    </xf>
    <xf numFmtId="164" fontId="0" fillId="9" borderId="1" applyAlignment="1" pivotButton="0" quotePrefix="0" xfId="0">
      <alignment wrapText="1"/>
    </xf>
    <xf numFmtId="0" fontId="0" fillId="10" borderId="0" pivotButton="0" quotePrefix="0" xfId="0"/>
    <xf numFmtId="0" fontId="0" fillId="10" borderId="1" pivotButton="0" quotePrefix="0" xfId="0"/>
    <xf numFmtId="0" fontId="1" fillId="10" borderId="0" pivotButton="0" quotePrefix="0" xfId="0"/>
    <xf numFmtId="0" fontId="1" fillId="10" borderId="1" pivotButton="0" quotePrefix="0" xfId="0"/>
    <xf numFmtId="0" fontId="1" fillId="10" borderId="0" applyAlignment="1" pivotButton="0" quotePrefix="0" xfId="0">
      <alignment vertical="center"/>
    </xf>
    <xf numFmtId="0" fontId="1" fillId="10" borderId="1" applyAlignment="1" pivotButton="0" quotePrefix="0" xfId="0">
      <alignment vertical="center"/>
    </xf>
    <xf numFmtId="0" fontId="3" fillId="10" borderId="0" pivotButton="0" quotePrefix="0" xfId="0"/>
    <xf numFmtId="0" fontId="3" fillId="10" borderId="1" pivotButton="0" quotePrefix="0" xfId="0"/>
    <xf numFmtId="0" fontId="3" fillId="10" borderId="0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2" fillId="6" borderId="0" pivotButton="0" quotePrefix="0" xfId="0"/>
    <xf numFmtId="0" fontId="2" fillId="6" borderId="1" pivotButton="0" quotePrefix="0" xfId="0"/>
    <xf numFmtId="0" fontId="2" fillId="6" borderId="0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1" fillId="7" borderId="0" applyAlignment="1" pivotButton="0" quotePrefix="0" xfId="0">
      <alignment vertical="top"/>
    </xf>
    <xf numFmtId="0" fontId="3" fillId="7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7" borderId="1" applyAlignment="1" pivotButton="0" quotePrefix="0" xfId="0">
      <alignment vertical="top"/>
    </xf>
    <xf numFmtId="0" fontId="3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8" borderId="0" applyAlignment="1" pivotButton="0" quotePrefix="0" xfId="0">
      <alignment vertical="top" wrapText="1"/>
    </xf>
    <xf numFmtId="164" fontId="0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2" fontId="0" fillId="9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0" fontId="1" fillId="10" borderId="0" applyAlignment="1" pivotButton="0" quotePrefix="0" xfId="0">
      <alignment vertical="top"/>
    </xf>
    <xf numFmtId="0" fontId="3" fillId="10" borderId="0" applyAlignment="1" pivotButton="0" quotePrefix="0" xfId="0">
      <alignment horizontal="center" vertical="top" wrapText="1"/>
    </xf>
    <xf numFmtId="0" fontId="1" fillId="10" borderId="1" applyAlignment="1" pivotButton="0" quotePrefix="0" xfId="0">
      <alignment vertical="top"/>
    </xf>
    <xf numFmtId="0" fontId="3" fillId="1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8" borderId="0" applyAlignment="1" pivotButton="0" quotePrefix="0" xfId="0">
      <alignment vertical="top" wrapText="1"/>
    </xf>
    <xf numFmtId="164" fontId="0" fillId="8" borderId="0" applyAlignment="1" pivotButton="0" quotePrefix="0" xfId="0">
      <alignment vertical="top" wrapText="1"/>
    </xf>
    <xf numFmtId="2" fontId="0" fillId="9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</cellXfs>
  <cellStyles count="1">
    <cellStyle name="Normal" xfId="0"/>
  </cellStyles>
  <dxfs count="8">
    <dxf>
      <font>
        <b val="1"/>
      </font>
      <fill>
        <patternFill patternType="solid">
          <bgColor rgb="FFE5F3EE"/>
        </patternFill>
      </fill>
    </dxf>
    <dxf>
      <fill>
        <patternFill patternType="solid">
          <bgColor rgb="FFFFF4CC"/>
        </patternFill>
      </fill>
    </dxf>
    <dxf>
      <fill>
        <patternFill patternType="solid">
          <bgColor rgb="FFFCE8E6"/>
        </patternFill>
      </fill>
    </dxf>
    <dxf>
      <font>
        <b val="1"/>
      </font>
      <fill>
        <patternFill patternType="solid">
          <bgColor rgb="FFFFD7A8"/>
        </patternFill>
      </fill>
    </dxf>
    <dxf>
      <fill>
        <patternFill patternType="solid">
          <bgColor rgb="FFE5F3EE"/>
        </patternFill>
      </fill>
    </dxf>
    <dxf>
      <fill>
        <patternFill patternType="solid">
          <bgColor rgb="FFFCE8E6"/>
        </patternFill>
      </fill>
    </dxf>
    <dxf>
      <fill>
        <patternFill patternType="solid">
          <bgColor rgb="FFFCE8E6"/>
        </patternFill>
      </fill>
    </dxf>
    <dxf>
      <fill>
        <patternFill patternType="solid"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Coverage counts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Series 1</v>
          </tx>
          <spPr>
            <a:ln>
              <a:prstDash val="solid"/>
            </a:ln>
          </spPr>
          <cat>
            <strRef>
              <f>'Summary'!$A$5:$A$12</f>
              <strCache>
                <ptCount val="0"/>
              </strCache>
            </strRef>
          </cat>
          <val>
            <numRef>
              <f>'Summary'!$B$5:$B$12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3</row>
      <rowOff>0</rowOff>
    </from>
    <to>
      <col>10</col>
      <colOff>0</colOff>
      <row>17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asterLiteratureTable" displayName="MasterLiteratureTable" ref="A4:V118" headerRowCount="1" totalsRowCount="0" totalsRowShown="0">
  <tableColumns count="22">
    <tableColumn id="1" name="ID"/>
    <tableColumn id="2" name="Polymer"/>
    <tableColumn id="3" name="Acronym"/>
    <tableColumn id="4" name="Family"/>
    <tableColumn id="5" name="Repeat_SMILES"/>
    <tableColumn id="6" name="RDKit_Parse"/>
    <tableColumn id="7" name="Tire_Relevance"/>
    <tableColumn id="8" name="Tg_Primary_C"/>
    <tableColumn id="9" name="Tg_Min_C"/>
    <tableColumn id="10" name="Tg_Max_C"/>
    <tableColumn id="11" name="Tg_Source_ID"/>
    <tableColumn id="12" name="Density_Primary_g_cm3"/>
    <tableColumn id="13" name="Density_Min"/>
    <tableColumn id="14" name="Density_Max"/>
    <tableColumn id="15" name="Density_Source_ID"/>
    <tableColumn id="16" name="Tc_Primary_W_mK"/>
    <tableColumn id="17" name="Tc_Min"/>
    <tableColumn id="18" name="Tc_Max"/>
    <tableColumn id="19" name="Tc_Source_ID"/>
    <tableColumn id="20" name="Core_Property_Count"/>
    <tableColumn id="21" name="Validation_Tier"/>
    <tableColumn id="2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QValidationTable" displayName="HQValidationTable" ref="A4:AF35" headerRowCount="1" totalsRowCount="0" totalsRowShown="0">
  <tableColumns count="32">
    <tableColumn id="1" name="Polymer"/>
    <tableColumn id="2" name="Acronym"/>
    <tableColumn id="3" name="Repeat_SMILES"/>
    <tableColumn id="4" name="Tire_Relevance"/>
    <tableColumn id="5" name="Lit_Tg_C"/>
    <tableColumn id="6" name="Lit_Tg_Min"/>
    <tableColumn id="7" name="Lit_Tg_Max"/>
    <tableColumn id="8" name="Tg_Source"/>
    <tableColumn id="9" name="Lit_Density"/>
    <tableColumn id="10" name="Density_Min"/>
    <tableColumn id="11" name="Density_Max"/>
    <tableColumn id="12" name="Density_Source"/>
    <tableColumn id="13" name="Lit_Tc"/>
    <tableColumn id="14" name="Tc_Min"/>
    <tableColumn id="15" name="Tc_Max"/>
    <tableColumn id="16" name="Tc_Source"/>
    <tableColumn id="17" name="AI_Tg"/>
    <tableColumn id="18" name="AI_Density"/>
    <tableColumn id="19" name="AI_FFV"/>
    <tableColumn id="20" name="AI_Tc"/>
    <tableColumn id="21" name="AI_Rg"/>
    <tableColumn id="22" name="AbsErr_Tg"/>
    <tableColumn id="23" name="AbsErr_Density"/>
    <tableColumn id="24" name="AbsErr_Tc"/>
    <tableColumn id="25" name="Tg_In_Range"/>
    <tableColumn id="26" name="Density_In_Range"/>
    <tableColumn id="27" name="Tc_In_Range"/>
    <tableColumn id="28" name="Core_Available"/>
    <tableColumn id="29" name="Tier"/>
    <tableColumn id="30" name="Notes"/>
    <tableColumn id="31" name="FFV_warning"/>
    <tableColumn id="32" name="Rg_war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ditionedMeasurementsTable" displayName="ConditionedMeasurementsTable" ref="A4:N36" headerRowCount="1" totalsRowCount="0" totalsRowShown="0">
  <tableColumns count="14">
    <tableColumn id="1" name="Type"/>
    <tableColumn id="2" name="Polymer"/>
    <tableColumn id="3" name="Repeat_SMILES"/>
    <tableColumn id="4" name="Value"/>
    <tableColumn id="5" name="Unit"/>
    <tableColumn id="6" name="Definition_or_Method"/>
    <tableColumn id="7" name="Tg_K_if_relevant"/>
    <tableColumn id="8" name="Mw_g_mol"/>
    <tableColumn id="9" name="Degree_of_Polymerization"/>
    <tableColumn id="10" name="Condition"/>
    <tableColumn id="11" name="Extra"/>
    <tableColumn id="12" name="Directly_Comparable_to_AI?"/>
    <tableColumn id="13" name="Source_ID"/>
    <tableColumn id="14" name="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dustrialCopolymerTable" displayName="IndustrialCopolymerTable" ref="A4:N13" headerRowCount="1" totalsRowCount="0" totalsRowShown="0">
  <tableColumns count="14">
    <tableColumn id="1" name="Acronym"/>
    <tableColumn id="2" name="Material"/>
    <tableColumn id="3" name="Use"/>
    <tableColumn id="4" name="Composition"/>
    <tableColumn id="5" name="SMILES guidance"/>
    <tableColumn id="6" name="Composition/grade"/>
    <tableColumn id="7" name="Tg_Min_C"/>
    <tableColumn id="8" name="Tg_Max_C"/>
    <tableColumn id="9" name="Density_Min"/>
    <tableColumn id="10" name="Density_Max"/>
    <tableColumn id="11" name="Tc_Min"/>
    <tableColumn id="12" name="Tc_Max"/>
    <tableColumn id="13" name="Source_IDs"/>
    <tableColumn id="1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Table" displayName="SourceTable" ref="A4:G25" headerRowCount="1" totalsRowCount="0" totalsRowShown="0">
  <tableColumns count="7">
    <tableColumn id="1" name="Source_ID"/>
    <tableColumn id="2" name="Title"/>
    <tableColumn id="3" name="Year"/>
    <tableColumn id="4" name="Type"/>
    <tableColumn id="5" name="URL"/>
    <tableColumn id="6" name="Used_for"/>
    <tableColumn id="7" name="Quality / comparabilit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8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30" t="inlineStr">
        <is>
          <t>External Literature Validation — Coverage Dashboard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127" t="inlineStr">
        <is>
          <t>KPI</t>
        </is>
      </c>
      <c r="B4" s="127" t="inlineStr">
        <is>
          <t>Value</t>
        </is>
      </c>
      <c r="C4" s="127" t="inlineStr">
        <is>
          <t>Meaning</t>
        </is>
      </c>
      <c r="D4" s="127" t="inlineStr">
        <is>
          <t>Use</t>
        </is>
      </c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39" t="inlineStr">
        <is>
          <t>Master structures</t>
        </is>
      </c>
      <c r="B5" s="128">
        <f>COUNTA(Master_Literature!B5:B118)</f>
        <v/>
      </c>
      <c r="C5" s="39" t="inlineStr">
        <is>
          <t>Input-ready structures / variants</t>
        </is>
      </c>
      <c r="D5" s="39" t="inlineStr">
        <is>
          <t>Broad stress test</t>
        </is>
      </c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39" t="inlineStr">
        <is>
          <t>RDKit PASS</t>
        </is>
      </c>
      <c r="B6" s="128">
        <f>COUNTIF(Master_Literature!F5:F118,"PASS")</f>
        <v/>
      </c>
      <c r="C6" s="39" t="inlineStr">
        <is>
          <t>Repeat SMILES parsed by RDKit in build environment</t>
        </is>
      </c>
      <c r="D6" s="39" t="inlineStr">
        <is>
          <t>Input sanity</t>
        </is>
      </c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39" t="inlineStr">
        <is>
          <t>Tier A</t>
        </is>
      </c>
      <c r="B7" s="128">
        <f>COUNTIF(Master_Literature!U5:U118,"A")</f>
        <v/>
      </c>
      <c r="C7" s="39" t="inlineStr">
        <is>
          <t>Tg + density + Tc available</t>
        </is>
      </c>
      <c r="D7" s="39" t="inlineStr">
        <is>
          <t>Strongest direct quantitative panel</t>
        </is>
      </c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39" t="inlineStr">
        <is>
          <t>Tier B</t>
        </is>
      </c>
      <c r="B8" s="128">
        <f>COUNTIF(Master_Literature!U5:U118,"B")</f>
        <v/>
      </c>
      <c r="C8" s="39" t="inlineStr">
        <is>
          <t>2/3 core properties available</t>
        </is>
      </c>
      <c r="D8" s="39" t="inlineStr">
        <is>
          <t>Useful partial validation</t>
        </is>
      </c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39" t="inlineStr">
        <is>
          <t>Tier C</t>
        </is>
      </c>
      <c r="B9" s="128">
        <f>COUNTIF(Master_Literature!U5:U118,"C")</f>
        <v/>
      </c>
      <c r="C9" s="39" t="inlineStr">
        <is>
          <t>Mostly Tg only</t>
        </is>
      </c>
      <c r="D9" s="39" t="inlineStr">
        <is>
          <t>Trend / OOD stress test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39" t="inlineStr">
        <is>
          <t>Tire/high relevance</t>
        </is>
      </c>
      <c r="B10" s="128">
        <f>COUNTIF(Master_Literature!G5:G118,"High")</f>
        <v/>
      </c>
      <c r="C10" s="39" t="inlineStr">
        <is>
          <t>Tire-linked homopolymer/proxy structures</t>
        </is>
      </c>
      <c r="D10" s="39" t="inlineStr">
        <is>
          <t>Prioritize</t>
        </is>
      </c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39" t="inlineStr">
        <is>
          <t>Conditioned FFV/Rg/PALS records</t>
        </is>
      </c>
      <c r="B11" s="128">
        <f>COUNTA(FFV_Rg_Conditioned!B5:B36)</f>
        <v/>
      </c>
      <c r="C11" s="39" t="inlineStr">
        <is>
          <t>Definition/condition tagged measurements</t>
        </is>
      </c>
      <c r="D11" s="39" t="inlineStr">
        <is>
          <t>Mechanistic / matched-condition validation</t>
        </is>
      </c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39" t="inlineStr">
        <is>
          <t>Industrial copolymer rows</t>
        </is>
      </c>
      <c r="B12" s="128">
        <f>COUNTA(Industrial_Copolymers!B5:B13)</f>
        <v/>
      </c>
      <c r="C12" s="39" t="inlineStr">
        <is>
          <t>SBR/NBR/HNBR/EPDM/IIR etc.</t>
        </is>
      </c>
      <c r="D12" s="39" t="inlineStr">
        <is>
          <t>Composition-aware external check</t>
        </is>
      </c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40" t="inlineStr">
        <is>
          <t>Validation Tier</t>
        </is>
      </c>
      <c r="B14" s="40" t="inlineStr">
        <is>
          <t>Definition</t>
        </is>
      </c>
      <c r="C14" s="40" t="inlineStr">
        <is>
          <t>Recommended action</t>
        </is>
      </c>
      <c r="D14" s="40" t="inlineStr">
        <is>
          <t>Caveat</t>
        </is>
      </c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37" t="inlineStr">
        <is>
          <t>A</t>
        </is>
      </c>
      <c r="B15" s="37" t="inlineStr">
        <is>
          <t>Tg + density + Tc</t>
        </is>
      </c>
      <c r="C15" s="37" t="inlineStr">
        <is>
          <t>Run first and compute absolute error / range hit</t>
        </is>
      </c>
      <c r="D15" s="37" t="inlineStr">
        <is>
          <t>Still condition/grade sensitive</t>
        </is>
      </c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37" t="inlineStr">
        <is>
          <t>B</t>
        </is>
      </c>
      <c r="B16" s="37" t="inlineStr">
        <is>
          <t>Two of Tg/density/Tc</t>
        </is>
      </c>
      <c r="C16" s="37" t="inlineStr">
        <is>
          <t>Use for partial external validation</t>
        </is>
      </c>
      <c r="D16" s="37" t="inlineStr">
        <is>
          <t>Do not score missing properties as failures</t>
        </is>
      </c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37" t="inlineStr">
        <is>
          <t>C</t>
        </is>
      </c>
      <c r="B17" s="37" t="inlineStr">
        <is>
          <t>Mostly Tg</t>
        </is>
      </c>
      <c r="C17" s="37" t="inlineStr">
        <is>
          <t>Use as large trend/OOD stress test</t>
        </is>
      </c>
      <c r="D17" s="37" t="inlineStr">
        <is>
          <t>Not a complete multi-property benchmark</t>
        </is>
      </c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133" t="inlineStr">
        <is>
          <t>Top-priority tire validation logic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46" t="inlineStr">
        <is>
          <t>PB/BR and PI/NR are the cleanest tire-linked homopolymer checks. SBR, NBR, HNBR, EPDM and IIR are composition-sensitive copolymers/terpolymers, so a single repeat-unit SMILES cannot fully represent the material. Use the Industrial_Copolymers sheet to avoid overclaiming. For FFV and especially Rg, only compare after matching definition, molecular weight/chain length, temperature and state; otherwise treat literature values as qualitative/conditional evidence.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1" t="n"/>
      <c r="J21" s="1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1" t="n"/>
      <c r="J22" s="1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1" t="n"/>
      <c r="J23" s="1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1" t="n"/>
      <c r="J24" s="1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3">
    <mergeCell ref="A20:J25"/>
    <mergeCell ref="A1:J2"/>
    <mergeCell ref="A19:J1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3" t="inlineStr">
        <is>
          <t>External Literature Validation Pack — Polymer Tg / Density / FFV / Thermal Conductivity / Rg</t>
        </is>
      </c>
      <c r="B1" s="1" t="n"/>
      <c r="C1" s="1" t="n"/>
      <c r="D1" s="1" t="n"/>
      <c r="E1" s="1" t="n"/>
      <c r="F1" s="1" t="n"/>
      <c r="G1" s="1" t="n"/>
      <c r="H1" s="1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59" t="inlineStr">
        <is>
          <t>Purpose</t>
        </is>
      </c>
      <c r="B4" s="1" t="n"/>
      <c r="C4" s="1" t="n"/>
      <c r="D4" s="1" t="n"/>
      <c r="E4" s="1" t="n"/>
      <c r="F4" s="1" t="n"/>
      <c r="G4" s="1" t="n"/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60" t="inlineStr">
        <is>
          <t>This workbook is a large external-literature validation pack for a polymer-property AI tool. It intentionally separates directly comparable bulk properties (Tg, density, thermal conductivity) from condition-dependent FFV/PALS/Rg measurements. Blank cells mean no sufficiently defensible value was entered from the curated sources used here; they are NOT zeros.</t>
        </is>
      </c>
      <c r="B5" s="1" t="n"/>
      <c r="C5" s="1" t="n"/>
      <c r="D5" s="1" t="n"/>
      <c r="E5" s="1" t="n"/>
      <c r="F5" s="1" t="n"/>
      <c r="G5" s="1" t="n"/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54" t="inlineStr">
        <is>
          <t>Key rule</t>
        </is>
      </c>
      <c r="B9" s="54" t="inlineStr">
        <is>
          <t>Meaning</t>
        </is>
      </c>
      <c r="C9" s="51" t="n"/>
      <c r="D9" s="51" t="n"/>
      <c r="E9" s="51" t="n"/>
      <c r="F9" s="51" t="n"/>
      <c r="G9" s="51" t="n"/>
      <c r="H9" s="51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53" t="inlineStr">
        <is>
          <t>Tc</t>
        </is>
      </c>
      <c r="B10" s="53" t="inlineStr">
        <is>
          <t>Thermal conductivity, W m^-1 K^-1 (NOT crystallization temperature).</t>
        </is>
      </c>
      <c r="C10" s="51" t="n"/>
      <c r="D10" s="51" t="n"/>
      <c r="E10" s="51" t="n"/>
      <c r="F10" s="51" t="n"/>
      <c r="G10" s="51" t="n"/>
      <c r="H10" s="51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53" t="inlineStr">
        <is>
          <t>Tg</t>
        </is>
      </c>
      <c r="B11" s="53" t="inlineStr">
        <is>
          <t>Highly dependent on molecular weight, tacticity, thermal history, moisture, crystallinity and measurement protocol.</t>
        </is>
      </c>
      <c r="C11" s="51" t="n"/>
      <c r="D11" s="51" t="n"/>
      <c r="E11" s="51" t="n"/>
      <c r="F11" s="51" t="n"/>
      <c r="G11" s="51" t="n"/>
      <c r="H11" s="51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53" t="inlineStr">
        <is>
          <t>Density</t>
        </is>
      </c>
      <c r="B12" s="53" t="inlineStr">
        <is>
          <t>Depends on crystallinity, grade, additives, temperature and morphology.</t>
        </is>
      </c>
      <c r="C12" s="51" t="n"/>
      <c r="D12" s="51" t="n"/>
      <c r="E12" s="51" t="n"/>
      <c r="F12" s="51" t="n"/>
      <c r="G12" s="51" t="n"/>
      <c r="H12" s="51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53" t="inlineStr">
        <is>
          <t>FFV</t>
        </is>
      </c>
      <c r="B13" s="53" t="inlineStr">
        <is>
          <t>Definition-sensitive. 'Fractional excess free volume at Tg' and PALS hole sizes are NOT automatically the same target as a geometric MD FFV.</t>
        </is>
      </c>
      <c r="C13" s="51" t="n"/>
      <c r="D13" s="51" t="n"/>
      <c r="E13" s="51" t="n"/>
      <c r="F13" s="51" t="n"/>
      <c r="G13" s="51" t="n"/>
      <c r="H13" s="51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53" t="inlineStr">
        <is>
          <t>Rg</t>
        </is>
      </c>
      <c r="B14" s="53" t="inlineStr">
        <is>
          <t>Strongly depends on molecular weight/chain length, solvent or melt state, concentration and temperature.</t>
        </is>
      </c>
      <c r="C14" s="51" t="n"/>
      <c r="D14" s="51" t="n"/>
      <c r="E14" s="51" t="n"/>
      <c r="F14" s="51" t="n"/>
      <c r="G14" s="51" t="n"/>
      <c r="H14" s="51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53" t="inlineStr">
        <is>
          <t>Repeat SMILES</t>
        </is>
      </c>
      <c r="B15" s="53" t="inlineStr">
        <is>
          <t>Many are input-ready homopolymer repeat units with * connection points. Copolymers/terpolymers often have no unique single repeat SMILES.</t>
        </is>
      </c>
      <c r="C15" s="51" t="n"/>
      <c r="D15" s="51" t="n"/>
      <c r="E15" s="51" t="n"/>
      <c r="F15" s="51" t="n"/>
      <c r="G15" s="51" t="n"/>
      <c r="H15" s="51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53" t="inlineStr">
        <is>
          <t>Validation strategy</t>
        </is>
      </c>
      <c r="B16" s="53" t="inlineStr">
        <is>
          <t>Use Tg/Density/Tc for quantitative external error first; treat FFV/Rg only under matched definitions/conditions.</t>
        </is>
      </c>
      <c r="C16" s="51" t="n"/>
      <c r="D16" s="51" t="n"/>
      <c r="E16" s="51" t="n"/>
      <c r="F16" s="51" t="n"/>
      <c r="G16" s="51" t="n"/>
      <c r="H16" s="51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62" t="inlineStr">
        <is>
          <t>Recommended use</t>
        </is>
      </c>
      <c r="B18" s="1" t="n"/>
      <c r="C18" s="1" t="n"/>
      <c r="D18" s="1" t="n"/>
      <c r="E18" s="1" t="n"/>
      <c r="F18" s="1" t="n"/>
      <c r="G18" s="1" t="n"/>
      <c r="H18" s="1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60" t="inlineStr">
        <is>
          <t>1) Start with HighQuality_Panel. 2) Paste each Repeat_SMILES into the AI tool and enter predictions. 3) Compare prediction to literature primary value/range. 4) Use Master_Literature for broad stress testing. 5) Use FFV_Rg_Conditioned only when the AI target definition/chain length is matched. 6) For tire polymers, check PB/BR, PI/NR, PIB/IIR proxy, SBR/EPDM/NBR/HNBR in the dedicated sheets.</t>
        </is>
      </c>
      <c r="B19" s="1" t="n"/>
      <c r="C19" s="1" t="n"/>
      <c r="D19" s="1" t="n"/>
      <c r="E19" s="1" t="n"/>
      <c r="F19" s="1" t="n"/>
      <c r="G19" s="1" t="n"/>
      <c r="H19" s="1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1" t="n"/>
      <c r="H20" s="1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1" t="n"/>
      <c r="H21" s="1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1" t="n"/>
      <c r="H22" s="1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1" t="n"/>
      <c r="H23" s="1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51" t="n"/>
      <c r="B25" s="51" t="n"/>
      <c r="C25" s="51" t="n"/>
      <c r="D25" s="51" t="n"/>
      <c r="E25" s="51" t="n"/>
      <c r="F25" s="51" t="n"/>
      <c r="G25" s="51" t="n"/>
      <c r="H25" s="51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63" t="inlineStr">
        <is>
          <t>Important: this is a curated validation aid, not a claim that every literature number is a universal material constant. Where sources disagree, the workbook keeps ranges/notes instead of hiding the disagreement.</t>
        </is>
      </c>
      <c r="B26" s="1" t="n"/>
      <c r="C26" s="1" t="n"/>
      <c r="D26" s="1" t="n"/>
      <c r="E26" s="1" t="n"/>
      <c r="F26" s="1" t="n"/>
      <c r="G26" s="1" t="n"/>
      <c r="H26" s="1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8" t="inlineStr">
        <is>
          <t>Generated</t>
        </is>
      </c>
      <c r="B29" s="37" t="inlineStr">
        <is>
          <t>2026-08-15 13:55</t>
        </is>
      </c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8" t="inlineStr">
        <is>
          <t>Master rows</t>
        </is>
      </c>
      <c r="B30" s="37" t="n">
        <v>114</v>
      </c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6">
    <mergeCell ref="A18:H18"/>
    <mergeCell ref="A4:H4"/>
    <mergeCell ref="A26:H27"/>
    <mergeCell ref="A5:H7"/>
    <mergeCell ref="A19:H24"/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24" customWidth="1" min="4" max="4"/>
    <col width="44" customWidth="1" min="5" max="5"/>
    <col width="12" customWidth="1" min="6" max="6"/>
    <col width="14" customWidth="1" min="7" max="7"/>
    <col width="13" customWidth="1" min="8" max="8"/>
    <col width="11" customWidth="1" min="9" max="9"/>
    <col width="11" customWidth="1" min="10" max="10"/>
    <col width="16" customWidth="1" min="11" max="11"/>
    <col width="17" customWidth="1" min="12" max="12"/>
    <col width="12" customWidth="1" min="13" max="13"/>
    <col width="12" customWidth="1" min="14" max="14"/>
    <col width="17" customWidth="1" min="15" max="15"/>
    <col width="15" customWidth="1" min="16" max="16"/>
    <col width="11" customWidth="1" min="17" max="17"/>
    <col width="11" customWidth="1" min="18" max="18"/>
    <col width="16" customWidth="1" min="19" max="19"/>
    <col width="16" customWidth="1" min="20" max="20"/>
    <col width="14" customWidth="1" min="21" max="21"/>
    <col width="62" customWidth="1" min="22" max="22"/>
  </cols>
  <sheetData>
    <row r="1">
      <c r="A1" s="43" t="inlineStr">
        <is>
          <t>Master Literature Library — input-ready repeat structures + curated experimental/reference properties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40" t="inlineStr">
        <is>
          <t>ID</t>
        </is>
      </c>
      <c r="B4" s="40" t="inlineStr">
        <is>
          <t>Polymer</t>
        </is>
      </c>
      <c r="C4" s="40" t="inlineStr">
        <is>
          <t>Acronym</t>
        </is>
      </c>
      <c r="D4" s="40" t="inlineStr">
        <is>
          <t>Family</t>
        </is>
      </c>
      <c r="E4" s="40" t="inlineStr">
        <is>
          <t>Repeat_SMILES</t>
        </is>
      </c>
      <c r="F4" s="40" t="inlineStr">
        <is>
          <t>RDKit_Parse</t>
        </is>
      </c>
      <c r="G4" s="40" t="inlineStr">
        <is>
          <t>Tire_Relevance</t>
        </is>
      </c>
      <c r="H4" s="40" t="inlineStr">
        <is>
          <t>Tg_Primary_C</t>
        </is>
      </c>
      <c r="I4" s="40" t="inlineStr">
        <is>
          <t>Tg_Min_C</t>
        </is>
      </c>
      <c r="J4" s="40" t="inlineStr">
        <is>
          <t>Tg_Max_C</t>
        </is>
      </c>
      <c r="K4" s="40" t="inlineStr">
        <is>
          <t>Tg_Source_ID</t>
        </is>
      </c>
      <c r="L4" s="40" t="inlineStr">
        <is>
          <t>Density_Primary_g_cm3</t>
        </is>
      </c>
      <c r="M4" s="40" t="inlineStr">
        <is>
          <t>Density_Min</t>
        </is>
      </c>
      <c r="N4" s="40" t="inlineStr">
        <is>
          <t>Density_Max</t>
        </is>
      </c>
      <c r="O4" s="40" t="inlineStr">
        <is>
          <t>Density_Source_ID</t>
        </is>
      </c>
      <c r="P4" s="40" t="inlineStr">
        <is>
          <t>Tc_Primary_W_mK</t>
        </is>
      </c>
      <c r="Q4" s="40" t="inlineStr">
        <is>
          <t>Tc_Min</t>
        </is>
      </c>
      <c r="R4" s="40" t="inlineStr">
        <is>
          <t>Tc_Max</t>
        </is>
      </c>
      <c r="S4" s="40" t="inlineStr">
        <is>
          <t>Tc_Source_ID</t>
        </is>
      </c>
      <c r="T4" s="40" t="inlineStr">
        <is>
          <t>Core_Property_Count</t>
        </is>
      </c>
      <c r="U4" s="40" t="inlineStr">
        <is>
          <t>Validation_Tier</t>
        </is>
      </c>
      <c r="V4" s="40" t="inlineStr">
        <is>
          <t>Notes</t>
        </is>
      </c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39" t="n">
        <v>1</v>
      </c>
      <c r="B5" s="39" t="inlineStr">
        <is>
          <t>Acenaphthylene polymer</t>
        </is>
      </c>
      <c r="C5" s="39" t="inlineStr">
        <is>
          <t>PACN</t>
        </is>
      </c>
      <c r="D5" s="39" t="inlineStr">
        <is>
          <t>Aromatic vinyl</t>
        </is>
      </c>
      <c r="E5" s="39" t="inlineStr">
        <is>
          <t>*CC1c2ccccc2C1*</t>
        </is>
      </c>
      <c r="F5" s="39" t="inlineStr">
        <is>
          <t>PASS</t>
        </is>
      </c>
      <c r="G5" s="39" t="str"/>
      <c r="H5" s="158" t="n">
        <v>214</v>
      </c>
      <c r="I5" s="158" t="n">
        <v>214</v>
      </c>
      <c r="J5" s="158" t="n">
        <v>214</v>
      </c>
      <c r="K5" s="39" t="inlineStr">
        <is>
          <t>MERCK_TG</t>
        </is>
      </c>
      <c r="L5" s="159" t="n"/>
      <c r="M5" s="159" t="n"/>
      <c r="N5" s="159" t="n"/>
      <c r="O5" s="39" t="n"/>
      <c r="P5" s="159" t="n"/>
      <c r="Q5" s="159" t="n"/>
      <c r="R5" s="159" t="n"/>
      <c r="S5" s="39" t="n"/>
      <c r="T5" s="39" t="n">
        <v>1</v>
      </c>
      <c r="U5" s="39" t="inlineStr">
        <is>
          <t>C</t>
        </is>
      </c>
      <c r="V5" s="39" t="str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39" t="n">
        <v>2</v>
      </c>
      <c r="B6" s="39" t="inlineStr">
        <is>
          <t>N,N-Dimethylacrylamide</t>
        </is>
      </c>
      <c r="C6" s="39" t="inlineStr">
        <is>
          <t>PDMA</t>
        </is>
      </c>
      <c r="D6" s="39" t="inlineStr">
        <is>
          <t>Acrylamide</t>
        </is>
      </c>
      <c r="E6" s="39" t="inlineStr">
        <is>
          <t>*CC(C(=O)N(C)C)*</t>
        </is>
      </c>
      <c r="F6" s="39" t="inlineStr">
        <is>
          <t>PASS</t>
        </is>
      </c>
      <c r="G6" s="39" t="str"/>
      <c r="H6" s="158" t="n">
        <v>89</v>
      </c>
      <c r="I6" s="158" t="n">
        <v>89</v>
      </c>
      <c r="J6" s="158" t="n">
        <v>89</v>
      </c>
      <c r="K6" s="39" t="inlineStr">
        <is>
          <t>MERCK_TG</t>
        </is>
      </c>
      <c r="L6" s="159" t="n"/>
      <c r="M6" s="159" t="n"/>
      <c r="N6" s="159" t="n"/>
      <c r="O6" s="39" t="n"/>
      <c r="P6" s="159" t="n"/>
      <c r="Q6" s="159" t="n"/>
      <c r="R6" s="159" t="n"/>
      <c r="S6" s="39" t="n"/>
      <c r="T6" s="39" t="n">
        <v>1</v>
      </c>
      <c r="U6" s="39" t="inlineStr">
        <is>
          <t>C</t>
        </is>
      </c>
      <c r="V6" s="39" t="str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39" t="n">
        <v>3</v>
      </c>
      <c r="B7" s="39" t="inlineStr">
        <is>
          <t>Poly(4-acetoxystyrene)</t>
        </is>
      </c>
      <c r="C7" s="39" t="inlineStr">
        <is>
          <t>P4AcOS</t>
        </is>
      </c>
      <c r="D7" s="39" t="inlineStr">
        <is>
          <t>Styrenic</t>
        </is>
      </c>
      <c r="E7" s="39" t="inlineStr">
        <is>
          <t>*CC(c1ccc(OC(=O)C)cc1)*</t>
        </is>
      </c>
      <c r="F7" s="39" t="inlineStr">
        <is>
          <t>PASS</t>
        </is>
      </c>
      <c r="G7" s="39" t="str"/>
      <c r="H7" s="158" t="n">
        <v>116</v>
      </c>
      <c r="I7" s="158" t="n">
        <v>116</v>
      </c>
      <c r="J7" s="158" t="n">
        <v>116</v>
      </c>
      <c r="K7" s="39" t="inlineStr">
        <is>
          <t>MERCK_TG</t>
        </is>
      </c>
      <c r="L7" s="159" t="n"/>
      <c r="M7" s="159" t="n"/>
      <c r="N7" s="159" t="n"/>
      <c r="O7" s="39" t="n"/>
      <c r="P7" s="159" t="n"/>
      <c r="Q7" s="159" t="n"/>
      <c r="R7" s="159" t="n"/>
      <c r="S7" s="39" t="n"/>
      <c r="T7" s="39" t="n">
        <v>1</v>
      </c>
      <c r="U7" s="39" t="inlineStr">
        <is>
          <t>C</t>
        </is>
      </c>
      <c r="V7" s="39" t="str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39" t="n">
        <v>4</v>
      </c>
      <c r="B8" s="39" t="inlineStr">
        <is>
          <t>Poly(dimethylsiloxane)</t>
        </is>
      </c>
      <c r="C8" s="39" t="inlineStr">
        <is>
          <t>PDMS</t>
        </is>
      </c>
      <c r="D8" s="39" t="inlineStr">
        <is>
          <t>Siloxane</t>
        </is>
      </c>
      <c r="E8" s="39" t="inlineStr">
        <is>
          <t>*O[Si](C)(C)*</t>
        </is>
      </c>
      <c r="F8" s="39" t="inlineStr">
        <is>
          <t>PASS</t>
        </is>
      </c>
      <c r="G8" s="39" t="str"/>
      <c r="H8" s="158" t="n">
        <v>-127</v>
      </c>
      <c r="I8" s="158" t="n">
        <v>-127</v>
      </c>
      <c r="J8" s="158" t="n">
        <v>-127</v>
      </c>
      <c r="K8" s="39" t="inlineStr">
        <is>
          <t>MERCK_TG</t>
        </is>
      </c>
      <c r="L8" s="159" t="n"/>
      <c r="M8" s="159" t="n"/>
      <c r="N8" s="159" t="n"/>
      <c r="O8" s="39" t="n"/>
      <c r="P8" s="159" t="n"/>
      <c r="Q8" s="159" t="n"/>
      <c r="R8" s="159" t="n"/>
      <c r="S8" s="39" t="n"/>
      <c r="T8" s="39" t="n">
        <v>1</v>
      </c>
      <c r="U8" s="39" t="inlineStr">
        <is>
          <t>C</t>
        </is>
      </c>
      <c r="V8" s="39" t="str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39" t="n">
        <v>5</v>
      </c>
      <c r="B9" s="39" t="inlineStr">
        <is>
          <t>Polyacrylamide</t>
        </is>
      </c>
      <c r="C9" s="39" t="inlineStr">
        <is>
          <t>PAM</t>
        </is>
      </c>
      <c r="D9" s="39" t="inlineStr">
        <is>
          <t>Acrylamide</t>
        </is>
      </c>
      <c r="E9" s="39" t="inlineStr">
        <is>
          <t>*CC(C(=O)N)*</t>
        </is>
      </c>
      <c r="F9" s="39" t="inlineStr">
        <is>
          <t>PASS</t>
        </is>
      </c>
      <c r="G9" s="39" t="str"/>
      <c r="H9" s="158" t="n">
        <v>165</v>
      </c>
      <c r="I9" s="158" t="n">
        <v>165</v>
      </c>
      <c r="J9" s="158" t="n">
        <v>165</v>
      </c>
      <c r="K9" s="39" t="inlineStr">
        <is>
          <t>MERCK_TG</t>
        </is>
      </c>
      <c r="L9" s="159" t="n"/>
      <c r="M9" s="159" t="n"/>
      <c r="N9" s="159" t="n"/>
      <c r="O9" s="39" t="n"/>
      <c r="P9" s="159" t="n">
        <v>0.38</v>
      </c>
      <c r="Q9" s="159" t="n">
        <v>0.38</v>
      </c>
      <c r="R9" s="159" t="n">
        <v>0.38</v>
      </c>
      <c r="S9" s="39" t="inlineStr">
        <is>
          <t>TC_REVIEW</t>
        </is>
      </c>
      <c r="T9" s="39" t="n">
        <v>2</v>
      </c>
      <c r="U9" s="39" t="inlineStr">
        <is>
          <t>B</t>
        </is>
      </c>
      <c r="V9" s="39" t="str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39" t="n">
        <v>6</v>
      </c>
      <c r="B10" s="39" t="inlineStr">
        <is>
          <t>Poly(acrylic acid)</t>
        </is>
      </c>
      <c r="C10" s="39" t="inlineStr">
        <is>
          <t>PAA</t>
        </is>
      </c>
      <c r="D10" s="39" t="inlineStr">
        <is>
          <t>Acrylic</t>
        </is>
      </c>
      <c r="E10" s="39" t="inlineStr">
        <is>
          <t>*CC(C(=O)O)*</t>
        </is>
      </c>
      <c r="F10" s="39" t="inlineStr">
        <is>
          <t>PASS</t>
        </is>
      </c>
      <c r="G10" s="39" t="str"/>
      <c r="H10" s="158" t="n">
        <v>105</v>
      </c>
      <c r="I10" s="158" t="n">
        <v>105</v>
      </c>
      <c r="J10" s="158" t="n">
        <v>105</v>
      </c>
      <c r="K10" s="39" t="inlineStr">
        <is>
          <t>MERCK_TG</t>
        </is>
      </c>
      <c r="L10" s="159" t="n"/>
      <c r="M10" s="159" t="n"/>
      <c r="N10" s="159" t="n"/>
      <c r="O10" s="39" t="n"/>
      <c r="P10" s="159" t="n">
        <v>0.37</v>
      </c>
      <c r="Q10" s="159" t="n">
        <v>0.37</v>
      </c>
      <c r="R10" s="159" t="n">
        <v>0.37</v>
      </c>
      <c r="S10" s="39" t="inlineStr">
        <is>
          <t>TC_REVIEW</t>
        </is>
      </c>
      <c r="T10" s="39" t="n">
        <v>2</v>
      </c>
      <c r="U10" s="39" t="inlineStr">
        <is>
          <t>B</t>
        </is>
      </c>
      <c r="V10" s="39" t="str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39" t="n">
        <v>7</v>
      </c>
      <c r="B11" s="39" t="inlineStr">
        <is>
          <t>Syndiotactic polyacrylonitrile</t>
        </is>
      </c>
      <c r="C11" s="39" t="inlineStr">
        <is>
          <t>s-PAN</t>
        </is>
      </c>
      <c r="D11" s="39" t="inlineStr">
        <is>
          <t>Nitrile vinyl</t>
        </is>
      </c>
      <c r="E11" s="39" t="inlineStr">
        <is>
          <t>*CC(C#N)*</t>
        </is>
      </c>
      <c r="F11" s="39" t="inlineStr">
        <is>
          <t>PASS</t>
        </is>
      </c>
      <c r="G11" s="39" t="str"/>
      <c r="H11" s="158" t="n">
        <v>125</v>
      </c>
      <c r="I11" s="158" t="n">
        <v>125</v>
      </c>
      <c r="J11" s="158" t="n">
        <v>125</v>
      </c>
      <c r="K11" s="39" t="inlineStr">
        <is>
          <t>MERCK_TG</t>
        </is>
      </c>
      <c r="L11" s="159" t="n"/>
      <c r="M11" s="159" t="n"/>
      <c r="N11" s="159" t="n"/>
      <c r="O11" s="39" t="n"/>
      <c r="P11" s="159" t="n"/>
      <c r="Q11" s="159" t="n"/>
      <c r="R11" s="159" t="n"/>
      <c r="S11" s="39" t="n"/>
      <c r="T11" s="39" t="n">
        <v>1</v>
      </c>
      <c r="U11" s="39" t="inlineStr">
        <is>
          <t>C</t>
        </is>
      </c>
      <c r="V11" s="39" t="str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39" t="n">
        <v>8</v>
      </c>
      <c r="B12" s="39" t="inlineStr">
        <is>
          <t>Poly(allyl glycidyl ether)</t>
        </is>
      </c>
      <c r="C12" s="39" t="inlineStr">
        <is>
          <t>PAGE</t>
        </is>
      </c>
      <c r="D12" s="39" t="inlineStr">
        <is>
          <t>Polyether</t>
        </is>
      </c>
      <c r="E12" s="39" t="inlineStr">
        <is>
          <t>*COCC1CO1*</t>
        </is>
      </c>
      <c r="F12" s="39" t="inlineStr">
        <is>
          <t>FAIL</t>
        </is>
      </c>
      <c r="G12" s="39" t="str"/>
      <c r="H12" s="158" t="n">
        <v>-78</v>
      </c>
      <c r="I12" s="158" t="n">
        <v>-78</v>
      </c>
      <c r="J12" s="158" t="n">
        <v>-78</v>
      </c>
      <c r="K12" s="39" t="inlineStr">
        <is>
          <t>MERCK_TG</t>
        </is>
      </c>
      <c r="L12" s="159" t="n"/>
      <c r="M12" s="159" t="n"/>
      <c r="N12" s="159" t="n"/>
      <c r="O12" s="39" t="n"/>
      <c r="P12" s="159" t="n"/>
      <c r="Q12" s="159" t="n"/>
      <c r="R12" s="159" t="n"/>
      <c r="S12" s="39" t="n"/>
      <c r="T12" s="39" t="n">
        <v>1</v>
      </c>
      <c r="U12" s="39" t="inlineStr">
        <is>
          <t>C</t>
        </is>
      </c>
      <c r="V12" s="39" t="str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39" t="n">
        <v>9</v>
      </c>
      <c r="B13" s="39" t="inlineStr">
        <is>
          <t>Poly(benzyl acrylate)</t>
        </is>
      </c>
      <c r="C13" s="39" t="inlineStr">
        <is>
          <t>PBzA</t>
        </is>
      </c>
      <c r="D13" s="39" t="inlineStr">
        <is>
          <t>Acrylic</t>
        </is>
      </c>
      <c r="E13" s="39" t="inlineStr">
        <is>
          <t>*CC(C(=O)OCc1ccccc1)*</t>
        </is>
      </c>
      <c r="F13" s="39" t="inlineStr">
        <is>
          <t>PASS</t>
        </is>
      </c>
      <c r="G13" s="39" t="str"/>
      <c r="H13" s="158" t="n">
        <v>6</v>
      </c>
      <c r="I13" s="158" t="n">
        <v>6</v>
      </c>
      <c r="J13" s="158" t="n">
        <v>6</v>
      </c>
      <c r="K13" s="39" t="inlineStr">
        <is>
          <t>MERCK_TG</t>
        </is>
      </c>
      <c r="L13" s="159" t="n"/>
      <c r="M13" s="159" t="n"/>
      <c r="N13" s="159" t="n"/>
      <c r="O13" s="39" t="n"/>
      <c r="P13" s="159" t="n"/>
      <c r="Q13" s="159" t="n"/>
      <c r="R13" s="159" t="n"/>
      <c r="S13" s="39" t="n"/>
      <c r="T13" s="39" t="n">
        <v>1</v>
      </c>
      <c r="U13" s="39" t="inlineStr">
        <is>
          <t>C</t>
        </is>
      </c>
      <c r="V13" s="39" t="str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39" t="n">
        <v>10</v>
      </c>
      <c r="B14" s="39" t="inlineStr">
        <is>
          <t>Poly(benzyl methacrylate)</t>
        </is>
      </c>
      <c r="C14" s="39" t="inlineStr">
        <is>
          <t>PBzMA</t>
        </is>
      </c>
      <c r="D14" s="39" t="inlineStr">
        <is>
          <t>Methacrylic</t>
        </is>
      </c>
      <c r="E14" s="39" t="inlineStr">
        <is>
          <t>*CC(C)(C(=O)OCc1ccccc1)*</t>
        </is>
      </c>
      <c r="F14" s="39" t="inlineStr">
        <is>
          <t>PASS</t>
        </is>
      </c>
      <c r="G14" s="39" t="str"/>
      <c r="H14" s="158" t="n">
        <v>54</v>
      </c>
      <c r="I14" s="158" t="n">
        <v>54</v>
      </c>
      <c r="J14" s="158" t="n">
        <v>54</v>
      </c>
      <c r="K14" s="39" t="inlineStr">
        <is>
          <t>MERCK_TG</t>
        </is>
      </c>
      <c r="L14" s="159" t="n"/>
      <c r="M14" s="159" t="n"/>
      <c r="N14" s="159" t="n"/>
      <c r="O14" s="39" t="n"/>
      <c r="P14" s="159" t="n"/>
      <c r="Q14" s="159" t="n"/>
      <c r="R14" s="159" t="n"/>
      <c r="S14" s="39" t="n"/>
      <c r="T14" s="39" t="n">
        <v>1</v>
      </c>
      <c r="U14" s="39" t="inlineStr">
        <is>
          <t>C</t>
        </is>
      </c>
      <c r="V14" s="39" t="str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39" t="n">
        <v>11</v>
      </c>
      <c r="B15" s="39" t="inlineStr">
        <is>
          <t>Poly(dodecyl acrylate)</t>
        </is>
      </c>
      <c r="C15" s="39" t="inlineStr">
        <is>
          <t>PDA</t>
        </is>
      </c>
      <c r="D15" s="39" t="inlineStr">
        <is>
          <t>Acrylic</t>
        </is>
      </c>
      <c r="E15" s="39" t="inlineStr">
        <is>
          <t>*CC(C(=O)OCCCCCCCCCCCC)*</t>
        </is>
      </c>
      <c r="F15" s="39" t="inlineStr">
        <is>
          <t>PASS</t>
        </is>
      </c>
      <c r="G15" s="39" t="str"/>
      <c r="H15" s="158" t="n">
        <v>-3</v>
      </c>
      <c r="I15" s="158" t="n">
        <v>-3</v>
      </c>
      <c r="J15" s="158" t="n">
        <v>-3</v>
      </c>
      <c r="K15" s="39" t="inlineStr">
        <is>
          <t>MERCK_TG</t>
        </is>
      </c>
      <c r="L15" s="159" t="n"/>
      <c r="M15" s="159" t="n"/>
      <c r="N15" s="159" t="n"/>
      <c r="O15" s="39" t="n"/>
      <c r="P15" s="159" t="n"/>
      <c r="Q15" s="159" t="n"/>
      <c r="R15" s="159" t="n"/>
      <c r="S15" s="39" t="n"/>
      <c r="T15" s="39" t="n">
        <v>1</v>
      </c>
      <c r="U15" s="39" t="inlineStr">
        <is>
          <t>C</t>
        </is>
      </c>
      <c r="V15" s="39" t="str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39" t="n">
        <v>12</v>
      </c>
      <c r="B16" s="39" t="inlineStr">
        <is>
          <t>Poly(dodecyl methacrylate)</t>
        </is>
      </c>
      <c r="C16" s="39" t="inlineStr">
        <is>
          <t>PDDMA</t>
        </is>
      </c>
      <c r="D16" s="39" t="inlineStr">
        <is>
          <t>Methacrylic</t>
        </is>
      </c>
      <c r="E16" s="39" t="inlineStr">
        <is>
          <t>*CC(C)(C(=O)OCCCCCCCCCCCC)*</t>
        </is>
      </c>
      <c r="F16" s="39" t="inlineStr">
        <is>
          <t>PASS</t>
        </is>
      </c>
      <c r="G16" s="39" t="str"/>
      <c r="H16" s="158" t="n">
        <v>-65</v>
      </c>
      <c r="I16" s="158" t="n">
        <v>-65</v>
      </c>
      <c r="J16" s="158" t="n">
        <v>-65</v>
      </c>
      <c r="K16" s="39" t="inlineStr">
        <is>
          <t>MERCK_TG</t>
        </is>
      </c>
      <c r="L16" s="159" t="n"/>
      <c r="M16" s="159" t="n"/>
      <c r="N16" s="159" t="n"/>
      <c r="O16" s="39" t="n"/>
      <c r="P16" s="159" t="n"/>
      <c r="Q16" s="159" t="n"/>
      <c r="R16" s="159" t="n"/>
      <c r="S16" s="39" t="n"/>
      <c r="T16" s="39" t="n">
        <v>1</v>
      </c>
      <c r="U16" s="39" t="inlineStr">
        <is>
          <t>C</t>
        </is>
      </c>
      <c r="V16" s="39" t="str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39" t="n">
        <v>13</v>
      </c>
      <c r="B17" s="39" t="inlineStr">
        <is>
          <t>Bisphenol-A polycarbonate</t>
        </is>
      </c>
      <c r="C17" s="39" t="inlineStr">
        <is>
          <t>BPA-PC</t>
        </is>
      </c>
      <c r="D17" s="39" t="inlineStr">
        <is>
          <t>Polycarbonate</t>
        </is>
      </c>
      <c r="E17" s="39" t="inlineStr">
        <is>
          <t>*Oc1ccc(C(C)(C)c2ccc(OC(=O)O*)cc2)cc1</t>
        </is>
      </c>
      <c r="F17" s="39" t="inlineStr">
        <is>
          <t>PASS</t>
        </is>
      </c>
      <c r="G17" s="39" t="str"/>
      <c r="H17" s="158" t="n">
        <v>145</v>
      </c>
      <c r="I17" s="158" t="n">
        <v>145</v>
      </c>
      <c r="J17" s="158" t="n">
        <v>145</v>
      </c>
      <c r="K17" s="39" t="inlineStr">
        <is>
          <t>PLASTICS_BOOK</t>
        </is>
      </c>
      <c r="L17" s="159" t="n">
        <v>1.2</v>
      </c>
      <c r="M17" s="159" t="n">
        <v>1.2</v>
      </c>
      <c r="N17" s="159" t="n">
        <v>1.2</v>
      </c>
      <c r="O17" s="39" t="inlineStr">
        <is>
          <t>PLASTICS_BOOK</t>
        </is>
      </c>
      <c r="P17" s="159" t="n"/>
      <c r="Q17" s="159" t="n">
        <v>0.18</v>
      </c>
      <c r="R17" s="159" t="n">
        <v>0.21</v>
      </c>
      <c r="S17" s="39" t="inlineStr">
        <is>
          <t>TC_ENG</t>
        </is>
      </c>
      <c r="T17" s="39" t="n">
        <v>3</v>
      </c>
      <c r="U17" s="39" t="inlineStr">
        <is>
          <t>A</t>
        </is>
      </c>
      <c r="V17" s="39" t="str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39" t="n">
        <v>14</v>
      </c>
      <c r="B18" s="39" t="inlineStr">
        <is>
          <t>Poly(4-bromostyrene)</t>
        </is>
      </c>
      <c r="C18" s="39" t="inlineStr">
        <is>
          <t>P4BrS</t>
        </is>
      </c>
      <c r="D18" s="39" t="inlineStr">
        <is>
          <t>Styrenic</t>
        </is>
      </c>
      <c r="E18" s="39" t="inlineStr">
        <is>
          <t>*CC(c1ccc(Br)cc1)*</t>
        </is>
      </c>
      <c r="F18" s="39" t="inlineStr">
        <is>
          <t>PASS</t>
        </is>
      </c>
      <c r="G18" s="39" t="str"/>
      <c r="H18" s="158" t="n">
        <v>118</v>
      </c>
      <c r="I18" s="158" t="n">
        <v>118</v>
      </c>
      <c r="J18" s="158" t="n">
        <v>118</v>
      </c>
      <c r="K18" s="39" t="inlineStr">
        <is>
          <t>MERCK_TG</t>
        </is>
      </c>
      <c r="L18" s="159" t="n"/>
      <c r="M18" s="159" t="n"/>
      <c r="N18" s="159" t="n"/>
      <c r="O18" s="39" t="n"/>
      <c r="P18" s="159" t="n"/>
      <c r="Q18" s="159" t="n"/>
      <c r="R18" s="159" t="n"/>
      <c r="S18" s="39" t="n"/>
      <c r="T18" s="39" t="n">
        <v>1</v>
      </c>
      <c r="U18" s="39" t="inlineStr">
        <is>
          <t>C</t>
        </is>
      </c>
      <c r="V18" s="39" t="str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39" t="n">
        <v>15</v>
      </c>
      <c r="B19" s="39" t="inlineStr">
        <is>
          <t>Poly(1-butene)</t>
        </is>
      </c>
      <c r="C19" s="39" t="inlineStr">
        <is>
          <t>PB-1</t>
        </is>
      </c>
      <c r="D19" s="39" t="inlineStr">
        <is>
          <t>Polyolefin</t>
        </is>
      </c>
      <c r="E19" s="39" t="inlineStr">
        <is>
          <t>*CC(CC)*</t>
        </is>
      </c>
      <c r="F19" s="39" t="inlineStr">
        <is>
          <t>PASS</t>
        </is>
      </c>
      <c r="G19" s="39" t="str"/>
      <c r="H19" s="158" t="n">
        <v>-24</v>
      </c>
      <c r="I19" s="158" t="n">
        <v>-24</v>
      </c>
      <c r="J19" s="158" t="n">
        <v>-24</v>
      </c>
      <c r="K19" s="39" t="inlineStr">
        <is>
          <t>MERCK_TG</t>
        </is>
      </c>
      <c r="L19" s="159" t="n"/>
      <c r="M19" s="159" t="n"/>
      <c r="N19" s="159" t="n"/>
      <c r="O19" s="39" t="n"/>
      <c r="P19" s="159" t="n"/>
      <c r="Q19" s="159" t="n"/>
      <c r="R19" s="159" t="n"/>
      <c r="S19" s="39" t="n"/>
      <c r="T19" s="39" t="n">
        <v>1</v>
      </c>
      <c r="U19" s="39" t="inlineStr">
        <is>
          <t>C</t>
        </is>
      </c>
      <c r="V19" s="39" t="str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39" t="n">
        <v>16</v>
      </c>
      <c r="B20" s="39" t="inlineStr">
        <is>
          <t>Poly(n-butyl acrylate)</t>
        </is>
      </c>
      <c r="C20" s="39" t="inlineStr">
        <is>
          <t>PnBA</t>
        </is>
      </c>
      <c r="D20" s="39" t="inlineStr">
        <is>
          <t>Acrylic</t>
        </is>
      </c>
      <c r="E20" s="39" t="inlineStr">
        <is>
          <t>*CC(C(=O)OCCCC)*</t>
        </is>
      </c>
      <c r="F20" s="39" t="inlineStr">
        <is>
          <t>PASS</t>
        </is>
      </c>
      <c r="G20" s="39" t="inlineStr">
        <is>
          <t>High</t>
        </is>
      </c>
      <c r="H20" s="158" t="n">
        <v>-55.2</v>
      </c>
      <c r="I20" s="158" t="n">
        <v>-55.2</v>
      </c>
      <c r="J20" s="158" t="n">
        <v>-55.2</v>
      </c>
      <c r="K20" s="39" t="inlineStr">
        <is>
          <t>POLYACRYLATE</t>
        </is>
      </c>
      <c r="L20" s="159" t="n">
        <v>1.04</v>
      </c>
      <c r="M20" s="159" t="n">
        <v>1.04</v>
      </c>
      <c r="N20" s="159" t="n">
        <v>1.04</v>
      </c>
      <c r="O20" s="39" t="inlineStr">
        <is>
          <t>POLYACRYLATE</t>
        </is>
      </c>
      <c r="P20" s="159" t="n"/>
      <c r="Q20" s="159" t="n"/>
      <c r="R20" s="159" t="n"/>
      <c r="S20" s="39" t="n"/>
      <c r="T20" s="39" t="n">
        <v>2</v>
      </c>
      <c r="U20" s="39" t="inlineStr">
        <is>
          <t>B</t>
        </is>
      </c>
      <c r="V20" s="39" t="str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39" t="n">
        <v>17</v>
      </c>
      <c r="B21" s="39" t="inlineStr">
        <is>
          <t>Poly(tert-butyl acrylate)</t>
        </is>
      </c>
      <c r="C21" s="39" t="inlineStr">
        <is>
          <t>PtBA</t>
        </is>
      </c>
      <c r="D21" s="39" t="inlineStr">
        <is>
          <t>Acrylic</t>
        </is>
      </c>
      <c r="E21" s="39" t="inlineStr">
        <is>
          <t>*CC(C(=O)OC(C)(C)C)*</t>
        </is>
      </c>
      <c r="F21" s="39" t="inlineStr">
        <is>
          <t>PASS</t>
        </is>
      </c>
      <c r="G21" s="39" t="str"/>
      <c r="H21" s="158" t="n"/>
      <c r="I21" s="158" t="n">
        <v>43</v>
      </c>
      <c r="J21" s="158" t="n">
        <v>107</v>
      </c>
      <c r="K21" s="39" t="inlineStr">
        <is>
          <t>MERCK_TG</t>
        </is>
      </c>
      <c r="L21" s="159" t="n"/>
      <c r="M21" s="159" t="n"/>
      <c r="N21" s="159" t="n"/>
      <c r="O21" s="39" t="n"/>
      <c r="P21" s="159" t="n"/>
      <c r="Q21" s="159" t="n"/>
      <c r="R21" s="159" t="n"/>
      <c r="S21" s="39" t="n"/>
      <c r="T21" s="39" t="n">
        <v>1</v>
      </c>
      <c r="U21" s="39" t="inlineStr">
        <is>
          <t>C</t>
        </is>
      </c>
      <c r="V21" s="39" t="str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39" t="n">
        <v>18</v>
      </c>
      <c r="B22" s="39" t="inlineStr">
        <is>
          <t>Poly(n-butyl methacrylate)</t>
        </is>
      </c>
      <c r="C22" s="39" t="inlineStr">
        <is>
          <t>PnBMA</t>
        </is>
      </c>
      <c r="D22" s="39" t="inlineStr">
        <is>
          <t>Methacrylic</t>
        </is>
      </c>
      <c r="E22" s="39" t="inlineStr">
        <is>
          <t>*CC(C)(C(=O)OCCCC)*</t>
        </is>
      </c>
      <c r="F22" s="39" t="inlineStr">
        <is>
          <t>PASS</t>
        </is>
      </c>
      <c r="G22" s="39" t="str"/>
      <c r="H22" s="158" t="n">
        <v>20</v>
      </c>
      <c r="I22" s="158" t="n">
        <v>20</v>
      </c>
      <c r="J22" s="158" t="n">
        <v>20</v>
      </c>
      <c r="K22" s="39" t="inlineStr">
        <is>
          <t>MERCK_TG</t>
        </is>
      </c>
      <c r="L22" s="159" t="n"/>
      <c r="M22" s="159" t="n"/>
      <c r="N22" s="159" t="n"/>
      <c r="O22" s="39" t="n"/>
      <c r="P22" s="159" t="n"/>
      <c r="Q22" s="159" t="n"/>
      <c r="R22" s="159" t="n"/>
      <c r="S22" s="39" t="n"/>
      <c r="T22" s="39" t="n">
        <v>1</v>
      </c>
      <c r="U22" s="39" t="inlineStr">
        <is>
          <t>C</t>
        </is>
      </c>
      <c r="V22" s="39" t="str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39" t="n">
        <v>19</v>
      </c>
      <c r="B23" s="39" t="inlineStr">
        <is>
          <t>Poly(tert-butyl methacrylate)</t>
        </is>
      </c>
      <c r="C23" s="39" t="inlineStr">
        <is>
          <t>PtBMA</t>
        </is>
      </c>
      <c r="D23" s="39" t="inlineStr">
        <is>
          <t>Methacrylic</t>
        </is>
      </c>
      <c r="E23" s="39" t="inlineStr">
        <is>
          <t>*CC(C)(C(=O)OC(C)(C)C)*</t>
        </is>
      </c>
      <c r="F23" s="39" t="inlineStr">
        <is>
          <t>PASS</t>
        </is>
      </c>
      <c r="G23" s="39" t="str"/>
      <c r="H23" s="158" t="n">
        <v>118</v>
      </c>
      <c r="I23" s="158" t="n">
        <v>118</v>
      </c>
      <c r="J23" s="158" t="n">
        <v>118</v>
      </c>
      <c r="K23" s="39" t="inlineStr">
        <is>
          <t>MERCK_TG</t>
        </is>
      </c>
      <c r="L23" s="159" t="n"/>
      <c r="M23" s="159" t="n"/>
      <c r="N23" s="159" t="n"/>
      <c r="O23" s="39" t="n"/>
      <c r="P23" s="159" t="n"/>
      <c r="Q23" s="159" t="n"/>
      <c r="R23" s="159" t="n"/>
      <c r="S23" s="39" t="n"/>
      <c r="T23" s="39" t="n">
        <v>1</v>
      </c>
      <c r="U23" s="39" t="inlineStr">
        <is>
          <t>C</t>
        </is>
      </c>
      <c r="V23" s="39" t="str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39" t="n">
        <v>20</v>
      </c>
      <c r="B24" s="39" t="inlineStr">
        <is>
          <t>Poly(4-tert-butylstyrene)</t>
        </is>
      </c>
      <c r="C24" s="39" t="inlineStr">
        <is>
          <t>PtBS</t>
        </is>
      </c>
      <c r="D24" s="39" t="inlineStr">
        <is>
          <t>Styrenic</t>
        </is>
      </c>
      <c r="E24" s="39" t="inlineStr">
        <is>
          <t>*CC(c1ccc(C(C)(C)C)cc1)*</t>
        </is>
      </c>
      <c r="F24" s="39" t="inlineStr">
        <is>
          <t>PASS</t>
        </is>
      </c>
      <c r="G24" s="39" t="str"/>
      <c r="H24" s="158" t="n">
        <v>127</v>
      </c>
      <c r="I24" s="158" t="n">
        <v>127</v>
      </c>
      <c r="J24" s="158" t="n">
        <v>127</v>
      </c>
      <c r="K24" s="39" t="inlineStr">
        <is>
          <t>MERCK_TG</t>
        </is>
      </c>
      <c r="L24" s="159" t="n"/>
      <c r="M24" s="159" t="n"/>
      <c r="N24" s="159" t="n"/>
      <c r="O24" s="39" t="n"/>
      <c r="P24" s="159" t="n"/>
      <c r="Q24" s="159" t="n"/>
      <c r="R24" s="159" t="n"/>
      <c r="S24" s="39" t="n"/>
      <c r="T24" s="39" t="n">
        <v>1</v>
      </c>
      <c r="U24" s="39" t="inlineStr">
        <is>
          <t>C</t>
        </is>
      </c>
      <c r="V24" s="39" t="str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39" t="n">
        <v>21</v>
      </c>
      <c r="B25" s="39" t="inlineStr">
        <is>
          <t>Poly(butyl vinyl ether)</t>
        </is>
      </c>
      <c r="C25" s="39" t="inlineStr">
        <is>
          <t>PBVE</t>
        </is>
      </c>
      <c r="D25" s="39" t="inlineStr">
        <is>
          <t>Vinyl ether</t>
        </is>
      </c>
      <c r="E25" s="39" t="inlineStr">
        <is>
          <t>*CC(OCCCC)*</t>
        </is>
      </c>
      <c r="F25" s="39" t="inlineStr">
        <is>
          <t>PASS</t>
        </is>
      </c>
      <c r="G25" s="39" t="str"/>
      <c r="H25" s="158" t="n">
        <v>-55</v>
      </c>
      <c r="I25" s="158" t="n">
        <v>-55</v>
      </c>
      <c r="J25" s="158" t="n">
        <v>-55</v>
      </c>
      <c r="K25" s="39" t="inlineStr">
        <is>
          <t>MERCK_TG</t>
        </is>
      </c>
      <c r="L25" s="159" t="n"/>
      <c r="M25" s="159" t="n"/>
      <c r="N25" s="159" t="n"/>
      <c r="O25" s="39" t="n"/>
      <c r="P25" s="159" t="n"/>
      <c r="Q25" s="159" t="n"/>
      <c r="R25" s="159" t="n"/>
      <c r="S25" s="39" t="n"/>
      <c r="T25" s="39" t="n">
        <v>1</v>
      </c>
      <c r="U25" s="39" t="inlineStr">
        <is>
          <t>C</t>
        </is>
      </c>
      <c r="V25" s="39" t="str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39" t="n">
        <v>22</v>
      </c>
      <c r="B26" s="39" t="inlineStr">
        <is>
          <t>Poly(caprolactone)</t>
        </is>
      </c>
      <c r="C26" s="39" t="inlineStr">
        <is>
          <t>PCL</t>
        </is>
      </c>
      <c r="D26" s="39" t="inlineStr">
        <is>
          <t>Polyester</t>
        </is>
      </c>
      <c r="E26" s="39" t="inlineStr">
        <is>
          <t>*OCCCCCC(=O)*</t>
        </is>
      </c>
      <c r="F26" s="39" t="inlineStr">
        <is>
          <t>PASS</t>
        </is>
      </c>
      <c r="G26" s="39" t="str"/>
      <c r="H26" s="158" t="n">
        <v>-60</v>
      </c>
      <c r="I26" s="158" t="n">
        <v>-60</v>
      </c>
      <c r="J26" s="158" t="n">
        <v>-60</v>
      </c>
      <c r="K26" s="39" t="inlineStr">
        <is>
          <t>MERCK_TG</t>
        </is>
      </c>
      <c r="L26" s="159" t="n"/>
      <c r="M26" s="159" t="n"/>
      <c r="N26" s="159" t="n"/>
      <c r="O26" s="39" t="n"/>
      <c r="P26" s="159" t="n"/>
      <c r="Q26" s="159" t="n"/>
      <c r="R26" s="159" t="n"/>
      <c r="S26" s="39" t="n"/>
      <c r="T26" s="39" t="n">
        <v>1</v>
      </c>
      <c r="U26" s="39" t="inlineStr">
        <is>
          <t>C</t>
        </is>
      </c>
      <c r="V26" s="39" t="str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39" t="n">
        <v>23</v>
      </c>
      <c r="B27" s="39" t="inlineStr">
        <is>
          <t>Poly(chloroprene), cis-rich reference</t>
        </is>
      </c>
      <c r="C27" s="39" t="inlineStr">
        <is>
          <t>CR-cis</t>
        </is>
      </c>
      <c r="D27" s="39" t="inlineStr">
        <is>
          <t>Diene rubber</t>
        </is>
      </c>
      <c r="E27" s="39" t="inlineStr">
        <is>
          <t>*CC(Cl)=CC*</t>
        </is>
      </c>
      <c r="F27" s="39" t="inlineStr">
        <is>
          <t>PASS</t>
        </is>
      </c>
      <c r="G27" s="39" t="inlineStr">
        <is>
          <t>High</t>
        </is>
      </c>
      <c r="H27" s="158" t="n">
        <v>-20</v>
      </c>
      <c r="I27" s="158" t="n">
        <v>-20</v>
      </c>
      <c r="J27" s="158" t="n">
        <v>-20</v>
      </c>
      <c r="K27" s="39" t="inlineStr">
        <is>
          <t>MERCK_TG</t>
        </is>
      </c>
      <c r="L27" s="159" t="n"/>
      <c r="M27" s="159" t="n"/>
      <c r="N27" s="159" t="n"/>
      <c r="O27" s="39" t="n"/>
      <c r="P27" s="159" t="n"/>
      <c r="Q27" s="159" t="n"/>
      <c r="R27" s="159" t="n"/>
      <c r="S27" s="39" t="n"/>
      <c r="T27" s="39" t="n">
        <v>1</v>
      </c>
      <c r="U27" s="39" t="inlineStr">
        <is>
          <t>C</t>
        </is>
      </c>
      <c r="V27" s="39" t="str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9" t="n">
        <v>24</v>
      </c>
      <c r="B28" s="39" t="inlineStr">
        <is>
          <t>Poly(chloroprene), trans-rich reference</t>
        </is>
      </c>
      <c r="C28" s="39" t="inlineStr">
        <is>
          <t>CR-trans</t>
        </is>
      </c>
      <c r="D28" s="39" t="inlineStr">
        <is>
          <t>Diene rubber</t>
        </is>
      </c>
      <c r="E28" s="39" t="inlineStr">
        <is>
          <t>*CC(Cl)=CC*</t>
        </is>
      </c>
      <c r="F28" s="39" t="inlineStr">
        <is>
          <t>PASS</t>
        </is>
      </c>
      <c r="G28" s="39" t="inlineStr">
        <is>
          <t>High</t>
        </is>
      </c>
      <c r="H28" s="158" t="n">
        <v>-40</v>
      </c>
      <c r="I28" s="158" t="n">
        <v>-40</v>
      </c>
      <c r="J28" s="158" t="n">
        <v>-40</v>
      </c>
      <c r="K28" s="39" t="inlineStr">
        <is>
          <t>MERCK_TG</t>
        </is>
      </c>
      <c r="L28" s="159" t="n"/>
      <c r="M28" s="159" t="n"/>
      <c r="N28" s="159" t="n"/>
      <c r="O28" s="39" t="n"/>
      <c r="P28" s="159" t="n"/>
      <c r="Q28" s="159" t="n"/>
      <c r="R28" s="159" t="n"/>
      <c r="S28" s="39" t="n"/>
      <c r="T28" s="39" t="n">
        <v>1</v>
      </c>
      <c r="U28" s="39" t="inlineStr">
        <is>
          <t>C</t>
        </is>
      </c>
      <c r="V28" s="39" t="str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9" t="n">
        <v>25</v>
      </c>
      <c r="B29" s="39" t="inlineStr">
        <is>
          <t>Poly(2-chlorostyrene)</t>
        </is>
      </c>
      <c r="C29" s="39" t="inlineStr">
        <is>
          <t>P2ClS</t>
        </is>
      </c>
      <c r="D29" s="39" t="inlineStr">
        <is>
          <t>Styrenic</t>
        </is>
      </c>
      <c r="E29" s="39" t="inlineStr">
        <is>
          <t>*CC(c1ccccc1Cl)*</t>
        </is>
      </c>
      <c r="F29" s="39" t="inlineStr">
        <is>
          <t>PASS</t>
        </is>
      </c>
      <c r="G29" s="39" t="str"/>
      <c r="H29" s="158" t="n">
        <v>119</v>
      </c>
      <c r="I29" s="158" t="n">
        <v>119</v>
      </c>
      <c r="J29" s="158" t="n">
        <v>119</v>
      </c>
      <c r="K29" s="39" t="inlineStr">
        <is>
          <t>MERCK_TG</t>
        </is>
      </c>
      <c r="L29" s="159" t="n"/>
      <c r="M29" s="159" t="n"/>
      <c r="N29" s="159" t="n"/>
      <c r="O29" s="39" t="n"/>
      <c r="P29" s="159" t="n"/>
      <c r="Q29" s="159" t="n"/>
      <c r="R29" s="159" t="n"/>
      <c r="S29" s="39" t="n"/>
      <c r="T29" s="39" t="n">
        <v>1</v>
      </c>
      <c r="U29" s="39" t="inlineStr">
        <is>
          <t>C</t>
        </is>
      </c>
      <c r="V29" s="39" t="str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9" t="n">
        <v>26</v>
      </c>
      <c r="B30" s="39" t="inlineStr">
        <is>
          <t>Poly(3-chlorostyrene)</t>
        </is>
      </c>
      <c r="C30" s="39" t="inlineStr">
        <is>
          <t>P3ClS</t>
        </is>
      </c>
      <c r="D30" s="39" t="inlineStr">
        <is>
          <t>Styrenic</t>
        </is>
      </c>
      <c r="E30" s="39" t="inlineStr">
        <is>
          <t>*CC(c1cccc(Cl)c1)*</t>
        </is>
      </c>
      <c r="F30" s="39" t="inlineStr">
        <is>
          <t>PASS</t>
        </is>
      </c>
      <c r="G30" s="39" t="str"/>
      <c r="H30" s="158" t="n">
        <v>90</v>
      </c>
      <c r="I30" s="158" t="n">
        <v>90</v>
      </c>
      <c r="J30" s="158" t="n">
        <v>90</v>
      </c>
      <c r="K30" s="39" t="inlineStr">
        <is>
          <t>MERCK_TG</t>
        </is>
      </c>
      <c r="L30" s="159" t="n"/>
      <c r="M30" s="159" t="n"/>
      <c r="N30" s="159" t="n"/>
      <c r="O30" s="39" t="n"/>
      <c r="P30" s="159" t="n"/>
      <c r="Q30" s="159" t="n"/>
      <c r="R30" s="159" t="n"/>
      <c r="S30" s="39" t="n"/>
      <c r="T30" s="39" t="n">
        <v>1</v>
      </c>
      <c r="U30" s="39" t="inlineStr">
        <is>
          <t>C</t>
        </is>
      </c>
      <c r="V30" s="39" t="str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9" t="n">
        <v>27</v>
      </c>
      <c r="B31" s="39" t="inlineStr">
        <is>
          <t>Poly(4-chlorostyrene)</t>
        </is>
      </c>
      <c r="C31" s="39" t="inlineStr">
        <is>
          <t>P4ClS</t>
        </is>
      </c>
      <c r="D31" s="39" t="inlineStr">
        <is>
          <t>Styrenic</t>
        </is>
      </c>
      <c r="E31" s="39" t="inlineStr">
        <is>
          <t>*CC(c1ccc(Cl)cc1)*</t>
        </is>
      </c>
      <c r="F31" s="39" t="inlineStr">
        <is>
          <t>PASS</t>
        </is>
      </c>
      <c r="G31" s="39" t="str"/>
      <c r="H31" s="158" t="n">
        <v>110</v>
      </c>
      <c r="I31" s="158" t="n">
        <v>110</v>
      </c>
      <c r="J31" s="158" t="n">
        <v>110</v>
      </c>
      <c r="K31" s="39" t="inlineStr">
        <is>
          <t>MERCK_TG</t>
        </is>
      </c>
      <c r="L31" s="159" t="n"/>
      <c r="M31" s="159" t="n"/>
      <c r="N31" s="159" t="n"/>
      <c r="O31" s="39" t="n"/>
      <c r="P31" s="159" t="n"/>
      <c r="Q31" s="159" t="n"/>
      <c r="R31" s="159" t="n"/>
      <c r="S31" s="39" t="n"/>
      <c r="T31" s="39" t="n">
        <v>1</v>
      </c>
      <c r="U31" s="39" t="inlineStr">
        <is>
          <t>C</t>
        </is>
      </c>
      <c r="V31" s="39" t="str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9" t="n">
        <v>28</v>
      </c>
      <c r="B32" s="39" t="inlineStr">
        <is>
          <t>Poly(chlorotrifluoroethylene)</t>
        </is>
      </c>
      <c r="C32" s="39" t="inlineStr">
        <is>
          <t>PCTFE</t>
        </is>
      </c>
      <c r="D32" s="39" t="inlineStr">
        <is>
          <t>Fluoropolymer</t>
        </is>
      </c>
      <c r="E32" s="39" t="inlineStr">
        <is>
          <t>*C(F)(F)C(F)(Cl)*</t>
        </is>
      </c>
      <c r="F32" s="39" t="inlineStr">
        <is>
          <t>PASS</t>
        </is>
      </c>
      <c r="G32" s="39" t="str"/>
      <c r="H32" s="158" t="n">
        <v>52</v>
      </c>
      <c r="I32" s="158" t="n">
        <v>52</v>
      </c>
      <c r="J32" s="158" t="n">
        <v>52</v>
      </c>
      <c r="K32" s="39" t="inlineStr">
        <is>
          <t>MERCK_TG</t>
        </is>
      </c>
      <c r="L32" s="159" t="n">
        <v>2.175</v>
      </c>
      <c r="M32" s="159" t="n">
        <v>2.08</v>
      </c>
      <c r="N32" s="159" t="n">
        <v>2.27</v>
      </c>
      <c r="O32" s="39" t="inlineStr">
        <is>
          <t>TC_ENG</t>
        </is>
      </c>
      <c r="P32" s="159" t="n"/>
      <c r="Q32" s="159" t="n">
        <v>0.2</v>
      </c>
      <c r="R32" s="159" t="n">
        <v>0.22</v>
      </c>
      <c r="S32" s="39" t="inlineStr">
        <is>
          <t>TC_ENG</t>
        </is>
      </c>
      <c r="T32" s="39" t="n">
        <v>3</v>
      </c>
      <c r="U32" s="39" t="inlineStr">
        <is>
          <t>A</t>
        </is>
      </c>
      <c r="V32" s="39" t="str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9" t="n">
        <v>29</v>
      </c>
      <c r="B33" s="39" t="inlineStr">
        <is>
          <t>Poly(cyclohexyl acrylate)</t>
        </is>
      </c>
      <c r="C33" s="39" t="inlineStr">
        <is>
          <t>PCHA</t>
        </is>
      </c>
      <c r="D33" s="39" t="inlineStr">
        <is>
          <t>Acrylic</t>
        </is>
      </c>
      <c r="E33" s="39" t="inlineStr">
        <is>
          <t>*CC(C(=O)OC1CCCCC1)*</t>
        </is>
      </c>
      <c r="F33" s="39" t="inlineStr">
        <is>
          <t>PASS</t>
        </is>
      </c>
      <c r="G33" s="39" t="str"/>
      <c r="H33" s="158" t="n">
        <v>19</v>
      </c>
      <c r="I33" s="158" t="n">
        <v>19</v>
      </c>
      <c r="J33" s="158" t="n">
        <v>19</v>
      </c>
      <c r="K33" s="39" t="inlineStr">
        <is>
          <t>MERCK_TG</t>
        </is>
      </c>
      <c r="L33" s="159" t="n"/>
      <c r="M33" s="159" t="n"/>
      <c r="N33" s="159" t="n"/>
      <c r="O33" s="39" t="n"/>
      <c r="P33" s="159" t="n"/>
      <c r="Q33" s="159" t="n"/>
      <c r="R33" s="159" t="n"/>
      <c r="S33" s="39" t="n"/>
      <c r="T33" s="39" t="n">
        <v>1</v>
      </c>
      <c r="U33" s="39" t="inlineStr">
        <is>
          <t>C</t>
        </is>
      </c>
      <c r="V33" s="39" t="str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9" t="n">
        <v>30</v>
      </c>
      <c r="B34" s="39" t="inlineStr">
        <is>
          <t>Poly(cyclohexyl methacrylate)</t>
        </is>
      </c>
      <c r="C34" s="39" t="inlineStr">
        <is>
          <t>PCHMA</t>
        </is>
      </c>
      <c r="D34" s="39" t="inlineStr">
        <is>
          <t>Methacrylic</t>
        </is>
      </c>
      <c r="E34" s="39" t="inlineStr">
        <is>
          <t>*CC(C)(C(=O)OC1CCCCC1)*</t>
        </is>
      </c>
      <c r="F34" s="39" t="inlineStr">
        <is>
          <t>PASS</t>
        </is>
      </c>
      <c r="G34" s="39" t="str"/>
      <c r="H34" s="158" t="n">
        <v>92</v>
      </c>
      <c r="I34" s="158" t="n">
        <v>92</v>
      </c>
      <c r="J34" s="158" t="n">
        <v>92</v>
      </c>
      <c r="K34" s="39" t="inlineStr">
        <is>
          <t>MERCK_TG</t>
        </is>
      </c>
      <c r="L34" s="159" t="n"/>
      <c r="M34" s="159" t="n"/>
      <c r="N34" s="159" t="n"/>
      <c r="O34" s="39" t="n"/>
      <c r="P34" s="159" t="n"/>
      <c r="Q34" s="159" t="n"/>
      <c r="R34" s="159" t="n"/>
      <c r="S34" s="39" t="n"/>
      <c r="T34" s="39" t="n">
        <v>1</v>
      </c>
      <c r="U34" s="39" t="inlineStr">
        <is>
          <t>C</t>
        </is>
      </c>
      <c r="V34" s="39" t="str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9" t="n">
        <v>31</v>
      </c>
      <c r="B35" s="39" t="inlineStr">
        <is>
          <t>Poly(2,6-dichlorostyrene)</t>
        </is>
      </c>
      <c r="C35" s="39" t="inlineStr">
        <is>
          <t>P2,6Cl2S</t>
        </is>
      </c>
      <c r="D35" s="39" t="inlineStr">
        <is>
          <t>Styrenic</t>
        </is>
      </c>
      <c r="E35" s="39" t="inlineStr">
        <is>
          <t>*CC(c1c(Cl)cccc1Cl)*</t>
        </is>
      </c>
      <c r="F35" s="39" t="inlineStr">
        <is>
          <t>PASS</t>
        </is>
      </c>
      <c r="G35" s="39" t="str"/>
      <c r="H35" s="158" t="n">
        <v>167</v>
      </c>
      <c r="I35" s="158" t="n">
        <v>167</v>
      </c>
      <c r="J35" s="158" t="n">
        <v>167</v>
      </c>
      <c r="K35" s="39" t="inlineStr">
        <is>
          <t>MERCK_TG</t>
        </is>
      </c>
      <c r="L35" s="159" t="n"/>
      <c r="M35" s="159" t="n"/>
      <c r="N35" s="159" t="n"/>
      <c r="O35" s="39" t="n"/>
      <c r="P35" s="159" t="n"/>
      <c r="Q35" s="159" t="n"/>
      <c r="R35" s="159" t="n"/>
      <c r="S35" s="39" t="n"/>
      <c r="T35" s="39" t="n">
        <v>1</v>
      </c>
      <c r="U35" s="39" t="inlineStr">
        <is>
          <t>C</t>
        </is>
      </c>
      <c r="V35" s="39" t="str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9" t="n">
        <v>32</v>
      </c>
      <c r="B36" s="39" t="inlineStr">
        <is>
          <t>Poly(dimethylaminoethyl methacrylate)</t>
        </is>
      </c>
      <c r="C36" s="39" t="inlineStr">
        <is>
          <t>PDMAEMA</t>
        </is>
      </c>
      <c r="D36" s="39" t="inlineStr">
        <is>
          <t>Methacrylic</t>
        </is>
      </c>
      <c r="E36" s="39" t="inlineStr">
        <is>
          <t>*CC(C)(C(=O)OCCN(C)C)*</t>
        </is>
      </c>
      <c r="F36" s="39" t="inlineStr">
        <is>
          <t>PASS</t>
        </is>
      </c>
      <c r="G36" s="39" t="str"/>
      <c r="H36" s="158" t="n">
        <v>19</v>
      </c>
      <c r="I36" s="158" t="n">
        <v>19</v>
      </c>
      <c r="J36" s="158" t="n">
        <v>19</v>
      </c>
      <c r="K36" s="39" t="inlineStr">
        <is>
          <t>MERCK_TG</t>
        </is>
      </c>
      <c r="L36" s="159" t="n"/>
      <c r="M36" s="159" t="n"/>
      <c r="N36" s="159" t="n"/>
      <c r="O36" s="39" t="n"/>
      <c r="P36" s="159" t="n"/>
      <c r="Q36" s="159" t="n"/>
      <c r="R36" s="159" t="n"/>
      <c r="S36" s="39" t="n"/>
      <c r="T36" s="39" t="n">
        <v>1</v>
      </c>
      <c r="U36" s="39" t="inlineStr">
        <is>
          <t>C</t>
        </is>
      </c>
      <c r="V36" s="39" t="str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9" t="n">
        <v>33</v>
      </c>
      <c r="B37" s="39" t="inlineStr">
        <is>
          <t>Poly(diethylaminoethyl methacrylate)</t>
        </is>
      </c>
      <c r="C37" s="39" t="inlineStr">
        <is>
          <t>PDEAEMA</t>
        </is>
      </c>
      <c r="D37" s="39" t="inlineStr">
        <is>
          <t>Methacrylic</t>
        </is>
      </c>
      <c r="E37" s="39" t="inlineStr">
        <is>
          <t>*CC(C)(C(=O)OCCN(CC)CC)*</t>
        </is>
      </c>
      <c r="F37" s="39" t="inlineStr">
        <is>
          <t>PASS</t>
        </is>
      </c>
      <c r="G37" s="39" t="str"/>
      <c r="H37" s="158" t="n">
        <v>20</v>
      </c>
      <c r="I37" s="158" t="n">
        <v>20</v>
      </c>
      <c r="J37" s="158" t="n">
        <v>20</v>
      </c>
      <c r="K37" s="39" t="inlineStr">
        <is>
          <t>MERCK_TG</t>
        </is>
      </c>
      <c r="L37" s="159" t="n"/>
      <c r="M37" s="159" t="n"/>
      <c r="N37" s="159" t="n"/>
      <c r="O37" s="39" t="n"/>
      <c r="P37" s="159" t="n"/>
      <c r="Q37" s="159" t="n"/>
      <c r="R37" s="159" t="n"/>
      <c r="S37" s="39" t="n"/>
      <c r="T37" s="39" t="n">
        <v>1</v>
      </c>
      <c r="U37" s="39" t="inlineStr">
        <is>
          <t>C</t>
        </is>
      </c>
      <c r="V37" s="39" t="str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9" t="n">
        <v>34</v>
      </c>
      <c r="B38" s="39" t="inlineStr">
        <is>
          <t>Poly(2,6-dimethyl-1,4-phenylene oxide)</t>
        </is>
      </c>
      <c r="C38" s="39" t="inlineStr">
        <is>
          <t>PPO</t>
        </is>
      </c>
      <c r="D38" s="39" t="inlineStr">
        <is>
          <t>Aromatic polyether</t>
        </is>
      </c>
      <c r="E38" s="39" t="inlineStr">
        <is>
          <t>*Oc1c(C)cc(C)cc1*</t>
        </is>
      </c>
      <c r="F38" s="39" t="inlineStr">
        <is>
          <t>PASS</t>
        </is>
      </c>
      <c r="G38" s="39" t="str"/>
      <c r="H38" s="158" t="n">
        <v>167</v>
      </c>
      <c r="I38" s="158" t="n">
        <v>167</v>
      </c>
      <c r="J38" s="158" t="n">
        <v>167</v>
      </c>
      <c r="K38" s="39" t="inlineStr">
        <is>
          <t>MERCK_TG</t>
        </is>
      </c>
      <c r="L38" s="159" t="n"/>
      <c r="M38" s="159" t="n"/>
      <c r="N38" s="159" t="n"/>
      <c r="O38" s="39" t="n"/>
      <c r="P38" s="159" t="n"/>
      <c r="Q38" s="159" t="n"/>
      <c r="R38" s="159" t="n"/>
      <c r="S38" s="39" t="n"/>
      <c r="T38" s="39" t="n">
        <v>1</v>
      </c>
      <c r="U38" s="39" t="inlineStr">
        <is>
          <t>C</t>
        </is>
      </c>
      <c r="V38" s="39" t="str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9" t="n">
        <v>35</v>
      </c>
      <c r="B39" s="39" t="inlineStr">
        <is>
          <t>Poly(2,4-dimethylstyrene)</t>
        </is>
      </c>
      <c r="C39" s="39" t="inlineStr">
        <is>
          <t>P2,4DMS</t>
        </is>
      </c>
      <c r="D39" s="39" t="inlineStr">
        <is>
          <t>Styrenic</t>
        </is>
      </c>
      <c r="E39" s="39" t="inlineStr">
        <is>
          <t>*CC(c1c(C)cc(C)cc1)*</t>
        </is>
      </c>
      <c r="F39" s="39" t="inlineStr">
        <is>
          <t>PASS</t>
        </is>
      </c>
      <c r="G39" s="39" t="str"/>
      <c r="H39" s="158" t="n">
        <v>112</v>
      </c>
      <c r="I39" s="158" t="n">
        <v>112</v>
      </c>
      <c r="J39" s="158" t="n">
        <v>112</v>
      </c>
      <c r="K39" s="39" t="inlineStr">
        <is>
          <t>MERCK_TG</t>
        </is>
      </c>
      <c r="L39" s="159" t="n"/>
      <c r="M39" s="159" t="n"/>
      <c r="N39" s="159" t="n"/>
      <c r="O39" s="39" t="n"/>
      <c r="P39" s="159" t="n"/>
      <c r="Q39" s="159" t="n"/>
      <c r="R39" s="159" t="n"/>
      <c r="S39" s="39" t="n"/>
      <c r="T39" s="39" t="n">
        <v>1</v>
      </c>
      <c r="U39" s="39" t="inlineStr">
        <is>
          <t>C</t>
        </is>
      </c>
      <c r="V39" s="39" t="str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9" t="n">
        <v>36</v>
      </c>
      <c r="B40" s="39" t="inlineStr">
        <is>
          <t>Poly(2,5-dimethylstyrene)</t>
        </is>
      </c>
      <c r="C40" s="39" t="inlineStr">
        <is>
          <t>P2,5DMS</t>
        </is>
      </c>
      <c r="D40" s="39" t="inlineStr">
        <is>
          <t>Styrenic</t>
        </is>
      </c>
      <c r="E40" s="39" t="inlineStr">
        <is>
          <t>*CC(c1c(C)ccc(C)c1)*</t>
        </is>
      </c>
      <c r="F40" s="39" t="inlineStr">
        <is>
          <t>PASS</t>
        </is>
      </c>
      <c r="G40" s="39" t="str"/>
      <c r="H40" s="158" t="n">
        <v>143</v>
      </c>
      <c r="I40" s="158" t="n">
        <v>143</v>
      </c>
      <c r="J40" s="158" t="n">
        <v>143</v>
      </c>
      <c r="K40" s="39" t="inlineStr">
        <is>
          <t>MERCK_TG</t>
        </is>
      </c>
      <c r="L40" s="159" t="n"/>
      <c r="M40" s="159" t="n"/>
      <c r="N40" s="159" t="n"/>
      <c r="O40" s="39" t="n"/>
      <c r="P40" s="159" t="n"/>
      <c r="Q40" s="159" t="n"/>
      <c r="R40" s="159" t="n"/>
      <c r="S40" s="39" t="n"/>
      <c r="T40" s="39" t="n">
        <v>1</v>
      </c>
      <c r="U40" s="39" t="inlineStr">
        <is>
          <t>C</t>
        </is>
      </c>
      <c r="V40" s="39" t="str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9" t="n">
        <v>37</v>
      </c>
      <c r="B41" s="39" t="inlineStr">
        <is>
          <t>Poly(3,5-dimethylstyrene)</t>
        </is>
      </c>
      <c r="C41" s="39" t="inlineStr">
        <is>
          <t>P3,5DMS</t>
        </is>
      </c>
      <c r="D41" s="39" t="inlineStr">
        <is>
          <t>Styrenic</t>
        </is>
      </c>
      <c r="E41" s="39" t="inlineStr">
        <is>
          <t>*CC(c1cc(C)cc(C)c1)*</t>
        </is>
      </c>
      <c r="F41" s="39" t="inlineStr">
        <is>
          <t>PASS</t>
        </is>
      </c>
      <c r="G41" s="39" t="str"/>
      <c r="H41" s="158" t="n">
        <v>104</v>
      </c>
      <c r="I41" s="158" t="n">
        <v>104</v>
      </c>
      <c r="J41" s="158" t="n">
        <v>104</v>
      </c>
      <c r="K41" s="39" t="inlineStr">
        <is>
          <t>MERCK_TG</t>
        </is>
      </c>
      <c r="L41" s="159" t="n"/>
      <c r="M41" s="159" t="n"/>
      <c r="N41" s="159" t="n"/>
      <c r="O41" s="39" t="n"/>
      <c r="P41" s="159" t="n"/>
      <c r="Q41" s="159" t="n"/>
      <c r="R41" s="159" t="n"/>
      <c r="S41" s="39" t="n"/>
      <c r="T41" s="39" t="n">
        <v>1</v>
      </c>
      <c r="U41" s="39" t="inlineStr">
        <is>
          <t>C</t>
        </is>
      </c>
      <c r="V41" s="39" t="str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9" t="n">
        <v>38</v>
      </c>
      <c r="B42" s="39" t="inlineStr">
        <is>
          <t>Poly(ethyl acrylate)</t>
        </is>
      </c>
      <c r="C42" s="39" t="inlineStr">
        <is>
          <t>PEA</t>
        </is>
      </c>
      <c r="D42" s="39" t="inlineStr">
        <is>
          <t>Acrylic</t>
        </is>
      </c>
      <c r="E42" s="39" t="inlineStr">
        <is>
          <t>*CC(C(=O)OCC)*</t>
        </is>
      </c>
      <c r="F42" s="39" t="inlineStr">
        <is>
          <t>PASS</t>
        </is>
      </c>
      <c r="G42" s="39" t="inlineStr">
        <is>
          <t>High</t>
        </is>
      </c>
      <c r="H42" s="158" t="n">
        <v>-23.2</v>
      </c>
      <c r="I42" s="158" t="n">
        <v>-23.2</v>
      </c>
      <c r="J42" s="158" t="n">
        <v>-23.2</v>
      </c>
      <c r="K42" s="39" t="inlineStr">
        <is>
          <t>POLYACRYLATE</t>
        </is>
      </c>
      <c r="L42" s="159" t="n">
        <v>1.12</v>
      </c>
      <c r="M42" s="159" t="n">
        <v>1.12</v>
      </c>
      <c r="N42" s="159" t="n">
        <v>1.12</v>
      </c>
      <c r="O42" s="39" t="inlineStr">
        <is>
          <t>POLYACRYLATE</t>
        </is>
      </c>
      <c r="P42" s="159" t="n"/>
      <c r="Q42" s="159" t="n"/>
      <c r="R42" s="159" t="n"/>
      <c r="S42" s="39" t="n"/>
      <c r="T42" s="39" t="n">
        <v>2</v>
      </c>
      <c r="U42" s="39" t="inlineStr">
        <is>
          <t>B</t>
        </is>
      </c>
      <c r="V42" s="39" t="str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9" t="n">
        <v>39</v>
      </c>
      <c r="B43" s="39" t="inlineStr">
        <is>
          <t>LDPE reference</t>
        </is>
      </c>
      <c r="C43" s="39" t="inlineStr">
        <is>
          <t>LDPE</t>
        </is>
      </c>
      <c r="D43" s="39" t="inlineStr">
        <is>
          <t>Polyolefin</t>
        </is>
      </c>
      <c r="E43" s="39" t="inlineStr">
        <is>
          <t>*CC*</t>
        </is>
      </c>
      <c r="F43" s="39" t="inlineStr">
        <is>
          <t>PASS</t>
        </is>
      </c>
      <c r="G43" s="39" t="inlineStr">
        <is>
          <t>High</t>
        </is>
      </c>
      <c r="H43" s="158" t="n">
        <v>-120</v>
      </c>
      <c r="I43" s="158" t="n">
        <v>-120</v>
      </c>
      <c r="J43" s="158" t="n">
        <v>-120</v>
      </c>
      <c r="K43" s="39" t="inlineStr">
        <is>
          <t>PLASTICS_BOOK</t>
        </is>
      </c>
      <c r="L43" s="159" t="n">
        <v>0.9225</v>
      </c>
      <c r="M43" s="159" t="n">
        <v>0.92</v>
      </c>
      <c r="N43" s="159" t="n">
        <v>0.925</v>
      </c>
      <c r="O43" s="39" t="inlineStr">
        <is>
          <t>PLASTICS_BOOK</t>
        </is>
      </c>
      <c r="P43" s="159" t="n">
        <v>0.34</v>
      </c>
      <c r="Q43" s="159" t="n">
        <v>0.34</v>
      </c>
      <c r="R43" s="159" t="n">
        <v>0.34</v>
      </c>
      <c r="S43" s="39" t="inlineStr">
        <is>
          <t>TC_ENG</t>
        </is>
      </c>
      <c r="T43" s="39" t="n">
        <v>3</v>
      </c>
      <c r="U43" s="39" t="inlineStr">
        <is>
          <t>A</t>
        </is>
      </c>
      <c r="V43" s="39" t="inlineStr">
        <is>
          <t>Same repeat SMILES as HDPE/MDPE; morphology/branching is not encoded by a simple repeat unit.</t>
        </is>
      </c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9" t="n">
        <v>40</v>
      </c>
      <c r="B44" s="39" t="inlineStr">
        <is>
          <t>MDPE reference</t>
        </is>
      </c>
      <c r="C44" s="39" t="inlineStr">
        <is>
          <t>MDPE</t>
        </is>
      </c>
      <c r="D44" s="39" t="inlineStr">
        <is>
          <t>Polyolefin</t>
        </is>
      </c>
      <c r="E44" s="39" t="inlineStr">
        <is>
          <t>*CC*</t>
        </is>
      </c>
      <c r="F44" s="39" t="inlineStr">
        <is>
          <t>PASS</t>
        </is>
      </c>
      <c r="G44" s="39" t="str"/>
      <c r="H44" s="158" t="n">
        <v>-120</v>
      </c>
      <c r="I44" s="158" t="n">
        <v>-120</v>
      </c>
      <c r="J44" s="158" t="n">
        <v>-120</v>
      </c>
      <c r="K44" s="39" t="inlineStr">
        <is>
          <t>PLASTICS_BOOK</t>
        </is>
      </c>
      <c r="L44" s="159" t="n">
        <v>0.9399999999999999</v>
      </c>
      <c r="M44" s="159" t="n">
        <v>0.9350000000000001</v>
      </c>
      <c r="N44" s="159" t="n">
        <v>0.945</v>
      </c>
      <c r="O44" s="39" t="inlineStr">
        <is>
          <t>PLASTICS_BOOK</t>
        </is>
      </c>
      <c r="P44" s="159" t="n"/>
      <c r="Q44" s="159" t="n"/>
      <c r="R44" s="159" t="n"/>
      <c r="S44" s="39" t="n"/>
      <c r="T44" s="39" t="n">
        <v>2</v>
      </c>
      <c r="U44" s="39" t="inlineStr">
        <is>
          <t>B</t>
        </is>
      </c>
      <c r="V44" s="39" t="inlineStr">
        <is>
          <t>Same repeat SMILES as LDPE/HDPE; density difference is morphology/branching-driven.</t>
        </is>
      </c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9" t="n">
        <v>41</v>
      </c>
      <c r="B45" s="39" t="inlineStr">
        <is>
          <t>HDPE reference</t>
        </is>
      </c>
      <c r="C45" s="39" t="inlineStr">
        <is>
          <t>HDPE</t>
        </is>
      </c>
      <c r="D45" s="39" t="inlineStr">
        <is>
          <t>Polyolefin</t>
        </is>
      </c>
      <c r="E45" s="39" t="inlineStr">
        <is>
          <t>*CC*</t>
        </is>
      </c>
      <c r="F45" s="39" t="inlineStr">
        <is>
          <t>PASS</t>
        </is>
      </c>
      <c r="G45" s="39" t="inlineStr">
        <is>
          <t>High</t>
        </is>
      </c>
      <c r="H45" s="158" t="n">
        <v>-120</v>
      </c>
      <c r="I45" s="158" t="n">
        <v>-120</v>
      </c>
      <c r="J45" s="158" t="n">
        <v>-120</v>
      </c>
      <c r="K45" s="39" t="inlineStr">
        <is>
          <t>PLASTICS_BOOK</t>
        </is>
      </c>
      <c r="L45" s="159" t="n">
        <v>0.96</v>
      </c>
      <c r="M45" s="159" t="n">
        <v>0.955</v>
      </c>
      <c r="N45" s="159" t="n">
        <v>0.965</v>
      </c>
      <c r="O45" s="39" t="inlineStr">
        <is>
          <t>PLASTICS_BOOK</t>
        </is>
      </c>
      <c r="P45" s="159" t="n">
        <v>0.48</v>
      </c>
      <c r="Q45" s="159" t="n">
        <v>0.46</v>
      </c>
      <c r="R45" s="159" t="n">
        <v>0.5</v>
      </c>
      <c r="S45" s="39" t="inlineStr">
        <is>
          <t>TC_ENG</t>
        </is>
      </c>
      <c r="T45" s="39" t="n">
        <v>3</v>
      </c>
      <c r="U45" s="39" t="inlineStr">
        <is>
          <t>A</t>
        </is>
      </c>
      <c r="V45" s="39" t="inlineStr">
        <is>
          <t>Same repeat SMILES as LDPE; model cannot infer crystallinity/branching from *CC* alone.</t>
        </is>
      </c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9" t="n">
        <v>42</v>
      </c>
      <c r="B46" s="39" t="inlineStr">
        <is>
          <t>Poly(ethylene oxide)</t>
        </is>
      </c>
      <c r="C46" s="39" t="inlineStr">
        <is>
          <t>PEO</t>
        </is>
      </c>
      <c r="D46" s="39" t="inlineStr">
        <is>
          <t>Polyether</t>
        </is>
      </c>
      <c r="E46" s="39" t="inlineStr">
        <is>
          <t>*OCC*</t>
        </is>
      </c>
      <c r="F46" s="39" t="inlineStr">
        <is>
          <t>PASS</t>
        </is>
      </c>
      <c r="G46" s="39" t="str"/>
      <c r="H46" s="158" t="n">
        <v>-66</v>
      </c>
      <c r="I46" s="158" t="n">
        <v>-66</v>
      </c>
      <c r="J46" s="158" t="n">
        <v>-66</v>
      </c>
      <c r="K46" s="39" t="inlineStr">
        <is>
          <t>MERCK_TG</t>
        </is>
      </c>
      <c r="L46" s="159" t="n"/>
      <c r="M46" s="159" t="n"/>
      <c r="N46" s="159" t="n"/>
      <c r="O46" s="39" t="n"/>
      <c r="P46" s="159" t="n"/>
      <c r="Q46" s="159" t="n"/>
      <c r="R46" s="159" t="n"/>
      <c r="S46" s="39" t="n"/>
      <c r="T46" s="39" t="n">
        <v>1</v>
      </c>
      <c r="U46" s="39" t="inlineStr">
        <is>
          <t>C</t>
        </is>
      </c>
      <c r="V46" s="39" t="str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9" t="n">
        <v>43</v>
      </c>
      <c r="B47" s="39" t="inlineStr">
        <is>
          <t>Poly(ethylene terephthalate)</t>
        </is>
      </c>
      <c r="C47" s="39" t="inlineStr">
        <is>
          <t>PET</t>
        </is>
      </c>
      <c r="D47" s="39" t="inlineStr">
        <is>
          <t>Polyester</t>
        </is>
      </c>
      <c r="E47" s="39" t="inlineStr">
        <is>
          <t>*OCCOC(=O)c1ccc(C(=O)*)cc1</t>
        </is>
      </c>
      <c r="F47" s="39" t="inlineStr">
        <is>
          <t>PASS</t>
        </is>
      </c>
      <c r="G47" s="39" t="str"/>
      <c r="H47" s="158" t="n">
        <v>80</v>
      </c>
      <c r="I47" s="158" t="n">
        <v>80</v>
      </c>
      <c r="J47" s="158" t="n">
        <v>80</v>
      </c>
      <c r="K47" s="39" t="inlineStr">
        <is>
          <t>PLASTICS_BOOK</t>
        </is>
      </c>
      <c r="L47" s="159" t="n">
        <v>1.338</v>
      </c>
      <c r="M47" s="159" t="n">
        <v>1.336</v>
      </c>
      <c r="N47" s="159" t="n">
        <v>1.34</v>
      </c>
      <c r="O47" s="39" t="inlineStr">
        <is>
          <t>PLASTICS_BOOK</t>
        </is>
      </c>
      <c r="P47" s="159" t="n"/>
      <c r="Q47" s="159" t="n">
        <v>0.14</v>
      </c>
      <c r="R47" s="159" t="n">
        <v>0.15</v>
      </c>
      <c r="S47" s="39" t="inlineStr">
        <is>
          <t>TC_ENG</t>
        </is>
      </c>
      <c r="T47" s="39" t="n">
        <v>3</v>
      </c>
      <c r="U47" s="39" t="inlineStr">
        <is>
          <t>A</t>
        </is>
      </c>
      <c r="V47" s="39" t="inlineStr">
        <is>
          <t>Density/Tc depend on crystallinity/orientation; value is a grade/reference range.</t>
        </is>
      </c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9" t="n">
        <v>44</v>
      </c>
      <c r="B48" s="39" t="inlineStr">
        <is>
          <t>Poly(ethylene 2,6-naphthalenedicarboxylate)</t>
        </is>
      </c>
      <c r="C48" s="39" t="inlineStr">
        <is>
          <t>PEN</t>
        </is>
      </c>
      <c r="D48" s="39" t="inlineStr">
        <is>
          <t>Polyester</t>
        </is>
      </c>
      <c r="E48" s="39" t="inlineStr">
        <is>
          <t>*OCCOC(=O)c1ccc2cc(C(=O)*)ccc2c1</t>
        </is>
      </c>
      <c r="F48" s="39" t="inlineStr">
        <is>
          <t>PASS</t>
        </is>
      </c>
      <c r="G48" s="39" t="str"/>
      <c r="H48" s="158" t="n">
        <v>113</v>
      </c>
      <c r="I48" s="158" t="n">
        <v>113</v>
      </c>
      <c r="J48" s="158" t="n">
        <v>113</v>
      </c>
      <c r="K48" s="39" t="inlineStr">
        <is>
          <t>MERCK_TG</t>
        </is>
      </c>
      <c r="L48" s="159" t="n"/>
      <c r="M48" s="159" t="n"/>
      <c r="N48" s="159" t="n"/>
      <c r="O48" s="39" t="n"/>
      <c r="P48" s="159" t="n"/>
      <c r="Q48" s="159" t="n"/>
      <c r="R48" s="159" t="n"/>
      <c r="S48" s="39" t="n"/>
      <c r="T48" s="39" t="n">
        <v>1</v>
      </c>
      <c r="U48" s="39" t="inlineStr">
        <is>
          <t>C</t>
        </is>
      </c>
      <c r="V48" s="39" t="str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9" t="n">
        <v>45</v>
      </c>
      <c r="B49" s="39" t="inlineStr">
        <is>
          <t>Poly(2-ethylhexyl acrylate)</t>
        </is>
      </c>
      <c r="C49" s="39" t="inlineStr">
        <is>
          <t>PEHA</t>
        </is>
      </c>
      <c r="D49" s="39" t="inlineStr">
        <is>
          <t>Acrylic</t>
        </is>
      </c>
      <c r="E49" s="39" t="inlineStr">
        <is>
          <t>*CC(C(=O)OCC(CC)CCCC)*</t>
        </is>
      </c>
      <c r="F49" s="39" t="inlineStr">
        <is>
          <t>PASS</t>
        </is>
      </c>
      <c r="G49" s="39" t="inlineStr">
        <is>
          <t>High</t>
        </is>
      </c>
      <c r="H49" s="158" t="n">
        <v>-85.2</v>
      </c>
      <c r="I49" s="158" t="n">
        <v>-85.2</v>
      </c>
      <c r="J49" s="158" t="n">
        <v>-85.2</v>
      </c>
      <c r="K49" s="39" t="inlineStr">
        <is>
          <t>POLYACRYLATE</t>
        </is>
      </c>
      <c r="L49" s="159" t="n">
        <v>0.74</v>
      </c>
      <c r="M49" s="159" t="n">
        <v>0.74</v>
      </c>
      <c r="N49" s="159" t="n">
        <v>0.74</v>
      </c>
      <c r="O49" s="39" t="inlineStr">
        <is>
          <t>POLYACRYLATE</t>
        </is>
      </c>
      <c r="P49" s="159" t="n"/>
      <c r="Q49" s="159" t="n"/>
      <c r="R49" s="159" t="n"/>
      <c r="S49" s="39" t="n"/>
      <c r="T49" s="39" t="n">
        <v>2</v>
      </c>
      <c r="U49" s="39" t="inlineStr">
        <is>
          <t>B</t>
        </is>
      </c>
      <c r="V49" s="39" t="str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9" t="n">
        <v>46</v>
      </c>
      <c r="B50" s="39" t="inlineStr">
        <is>
          <t>Poly(2-ethylhexyl methacrylate)</t>
        </is>
      </c>
      <c r="C50" s="39" t="inlineStr">
        <is>
          <t>PEHMA</t>
        </is>
      </c>
      <c r="D50" s="39" t="inlineStr">
        <is>
          <t>Methacrylic</t>
        </is>
      </c>
      <c r="E50" s="39" t="inlineStr">
        <is>
          <t>*CC(C)(C(=O)OCC(CC)CCCC)*</t>
        </is>
      </c>
      <c r="F50" s="39" t="inlineStr">
        <is>
          <t>PASS</t>
        </is>
      </c>
      <c r="G50" s="39" t="str"/>
      <c r="H50" s="158" t="n">
        <v>-10</v>
      </c>
      <c r="I50" s="158" t="n">
        <v>-10</v>
      </c>
      <c r="J50" s="158" t="n">
        <v>-10</v>
      </c>
      <c r="K50" s="39" t="inlineStr">
        <is>
          <t>MERCK_TG</t>
        </is>
      </c>
      <c r="L50" s="159" t="n"/>
      <c r="M50" s="159" t="n"/>
      <c r="N50" s="159" t="n"/>
      <c r="O50" s="39" t="n"/>
      <c r="P50" s="159" t="n"/>
      <c r="Q50" s="159" t="n"/>
      <c r="R50" s="159" t="n"/>
      <c r="S50" s="39" t="n"/>
      <c r="T50" s="39" t="n">
        <v>1</v>
      </c>
      <c r="U50" s="39" t="inlineStr">
        <is>
          <t>C</t>
        </is>
      </c>
      <c r="V50" s="39" t="str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9" t="n">
        <v>47</v>
      </c>
      <c r="B51" s="39" t="inlineStr">
        <is>
          <t>Poly(ethyl methacrylate)</t>
        </is>
      </c>
      <c r="C51" s="39" t="inlineStr">
        <is>
          <t>PEMA</t>
        </is>
      </c>
      <c r="D51" s="39" t="inlineStr">
        <is>
          <t>Methacrylic</t>
        </is>
      </c>
      <c r="E51" s="39" t="inlineStr">
        <is>
          <t>*CC(C)(C(=O)OCC)*</t>
        </is>
      </c>
      <c r="F51" s="39" t="inlineStr">
        <is>
          <t>PASS</t>
        </is>
      </c>
      <c r="G51" s="39" t="str"/>
      <c r="H51" s="158" t="n">
        <v>65</v>
      </c>
      <c r="I51" s="158" t="n">
        <v>65</v>
      </c>
      <c r="J51" s="158" t="n">
        <v>65</v>
      </c>
      <c r="K51" s="39" t="inlineStr">
        <is>
          <t>MERCK_TG</t>
        </is>
      </c>
      <c r="L51" s="159" t="n"/>
      <c r="M51" s="159" t="n"/>
      <c r="N51" s="159" t="n"/>
      <c r="O51" s="39" t="n"/>
      <c r="P51" s="159" t="n"/>
      <c r="Q51" s="159" t="n"/>
      <c r="R51" s="159" t="n"/>
      <c r="S51" s="39" t="n"/>
      <c r="T51" s="39" t="n">
        <v>1</v>
      </c>
      <c r="U51" s="39" t="inlineStr">
        <is>
          <t>C</t>
        </is>
      </c>
      <c r="V51" s="39" t="str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9" t="n">
        <v>48</v>
      </c>
      <c r="B52" s="39" t="inlineStr">
        <is>
          <t>Poly(4-fluorostyrene)</t>
        </is>
      </c>
      <c r="C52" s="39" t="inlineStr">
        <is>
          <t>P4FS</t>
        </is>
      </c>
      <c r="D52" s="39" t="inlineStr">
        <is>
          <t>Styrenic</t>
        </is>
      </c>
      <c r="E52" s="39" t="inlineStr">
        <is>
          <t>*CC(c1ccc(F)cc1)*</t>
        </is>
      </c>
      <c r="F52" s="39" t="inlineStr">
        <is>
          <t>PASS</t>
        </is>
      </c>
      <c r="G52" s="39" t="str"/>
      <c r="H52" s="158" t="n">
        <v>95</v>
      </c>
      <c r="I52" s="158" t="n">
        <v>95</v>
      </c>
      <c r="J52" s="158" t="n">
        <v>95</v>
      </c>
      <c r="K52" s="39" t="inlineStr">
        <is>
          <t>MERCK_TG</t>
        </is>
      </c>
      <c r="L52" s="159" t="n"/>
      <c r="M52" s="159" t="n"/>
      <c r="N52" s="159" t="n"/>
      <c r="O52" s="39" t="n"/>
      <c r="P52" s="159" t="n"/>
      <c r="Q52" s="159" t="n"/>
      <c r="R52" s="159" t="n"/>
      <c r="S52" s="39" t="n"/>
      <c r="T52" s="39" t="n">
        <v>1</v>
      </c>
      <c r="U52" s="39" t="inlineStr">
        <is>
          <t>C</t>
        </is>
      </c>
      <c r="V52" s="39" t="str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9" t="n">
        <v>49</v>
      </c>
      <c r="B53" s="39" t="inlineStr">
        <is>
          <t>Poly(hexadecyl acrylate)</t>
        </is>
      </c>
      <c r="C53" s="39" t="inlineStr">
        <is>
          <t>PHDA</t>
        </is>
      </c>
      <c r="D53" s="39" t="inlineStr">
        <is>
          <t>Acrylic</t>
        </is>
      </c>
      <c r="E53" s="39" t="inlineStr">
        <is>
          <t>*CC(C(=O)OCCCCCCCCCCCCCCCC)*</t>
        </is>
      </c>
      <c r="F53" s="39" t="inlineStr">
        <is>
          <t>PASS</t>
        </is>
      </c>
      <c r="G53" s="39" t="str"/>
      <c r="H53" s="158" t="n">
        <v>35</v>
      </c>
      <c r="I53" s="158" t="n">
        <v>35</v>
      </c>
      <c r="J53" s="158" t="n">
        <v>35</v>
      </c>
      <c r="K53" s="39" t="inlineStr">
        <is>
          <t>MERCK_TG</t>
        </is>
      </c>
      <c r="L53" s="159" t="n"/>
      <c r="M53" s="159" t="n"/>
      <c r="N53" s="159" t="n"/>
      <c r="O53" s="39" t="n"/>
      <c r="P53" s="159" t="n"/>
      <c r="Q53" s="159" t="n"/>
      <c r="R53" s="159" t="n"/>
      <c r="S53" s="39" t="n"/>
      <c r="T53" s="39" t="n">
        <v>1</v>
      </c>
      <c r="U53" s="39" t="inlineStr">
        <is>
          <t>C</t>
        </is>
      </c>
      <c r="V53" s="39" t="str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9" t="n">
        <v>50</v>
      </c>
      <c r="B54" s="39" t="inlineStr">
        <is>
          <t>Poly(hexadecyl methacrylate)</t>
        </is>
      </c>
      <c r="C54" s="39" t="inlineStr">
        <is>
          <t>PHDMA</t>
        </is>
      </c>
      <c r="D54" s="39" t="inlineStr">
        <is>
          <t>Methacrylic</t>
        </is>
      </c>
      <c r="E54" s="39" t="inlineStr">
        <is>
          <t>*CC(C)(C(=O)OCCCCCCCCCCCCCCCC)*</t>
        </is>
      </c>
      <c r="F54" s="39" t="inlineStr">
        <is>
          <t>PASS</t>
        </is>
      </c>
      <c r="G54" s="39" t="str"/>
      <c r="H54" s="158" t="n">
        <v>15</v>
      </c>
      <c r="I54" s="158" t="n">
        <v>15</v>
      </c>
      <c r="J54" s="158" t="n">
        <v>15</v>
      </c>
      <c r="K54" s="39" t="inlineStr">
        <is>
          <t>MERCK_TG</t>
        </is>
      </c>
      <c r="L54" s="159" t="n"/>
      <c r="M54" s="159" t="n"/>
      <c r="N54" s="159" t="n"/>
      <c r="O54" s="39" t="n"/>
      <c r="P54" s="159" t="n"/>
      <c r="Q54" s="159" t="n"/>
      <c r="R54" s="159" t="n"/>
      <c r="S54" s="39" t="n"/>
      <c r="T54" s="39" t="n">
        <v>1</v>
      </c>
      <c r="U54" s="39" t="inlineStr">
        <is>
          <t>C</t>
        </is>
      </c>
      <c r="V54" s="39" t="str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9" t="n">
        <v>51</v>
      </c>
      <c r="B55" s="39" t="inlineStr">
        <is>
          <t>Poly(hexyl acrylate)</t>
        </is>
      </c>
      <c r="C55" s="39" t="inlineStr">
        <is>
          <t>PHA</t>
        </is>
      </c>
      <c r="D55" s="39" t="inlineStr">
        <is>
          <t>Acrylic</t>
        </is>
      </c>
      <c r="E55" s="39" t="inlineStr">
        <is>
          <t>*CC(C(=O)OCCCCCC)*</t>
        </is>
      </c>
      <c r="F55" s="39" t="inlineStr">
        <is>
          <t>PASS</t>
        </is>
      </c>
      <c r="G55" s="39" t="str"/>
      <c r="H55" s="158" t="n">
        <v>-57</v>
      </c>
      <c r="I55" s="158" t="n">
        <v>-57</v>
      </c>
      <c r="J55" s="158" t="n">
        <v>-57</v>
      </c>
      <c r="K55" s="39" t="inlineStr">
        <is>
          <t>MERCK_TG</t>
        </is>
      </c>
      <c r="L55" s="159" t="n"/>
      <c r="M55" s="159" t="n"/>
      <c r="N55" s="159" t="n"/>
      <c r="O55" s="39" t="n"/>
      <c r="P55" s="159" t="n"/>
      <c r="Q55" s="159" t="n"/>
      <c r="R55" s="159" t="n"/>
      <c r="S55" s="39" t="n"/>
      <c r="T55" s="39" t="n">
        <v>1</v>
      </c>
      <c r="U55" s="39" t="inlineStr">
        <is>
          <t>C</t>
        </is>
      </c>
      <c r="V55" s="39" t="str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9" t="n">
        <v>52</v>
      </c>
      <c r="B56" s="39" t="inlineStr">
        <is>
          <t>Poly(hexyl methacrylate)</t>
        </is>
      </c>
      <c r="C56" s="39" t="inlineStr">
        <is>
          <t>PHMA</t>
        </is>
      </c>
      <c r="D56" s="39" t="inlineStr">
        <is>
          <t>Methacrylic</t>
        </is>
      </c>
      <c r="E56" s="39" t="inlineStr">
        <is>
          <t>*CC(C)(C(=O)OCCCCCC)*</t>
        </is>
      </c>
      <c r="F56" s="39" t="inlineStr">
        <is>
          <t>PASS</t>
        </is>
      </c>
      <c r="G56" s="39" t="str"/>
      <c r="H56" s="158" t="n">
        <v>-5</v>
      </c>
      <c r="I56" s="158" t="n">
        <v>-5</v>
      </c>
      <c r="J56" s="158" t="n">
        <v>-5</v>
      </c>
      <c r="K56" s="39" t="inlineStr">
        <is>
          <t>MERCK_TG</t>
        </is>
      </c>
      <c r="L56" s="159" t="n"/>
      <c r="M56" s="159" t="n"/>
      <c r="N56" s="159" t="n"/>
      <c r="O56" s="39" t="n"/>
      <c r="P56" s="159" t="n"/>
      <c r="Q56" s="159" t="n"/>
      <c r="R56" s="159" t="n"/>
      <c r="S56" s="39" t="n"/>
      <c r="T56" s="39" t="n">
        <v>1</v>
      </c>
      <c r="U56" s="39" t="inlineStr">
        <is>
          <t>C</t>
        </is>
      </c>
      <c r="V56" s="39" t="str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9" t="n">
        <v>53</v>
      </c>
      <c r="B57" s="39" t="inlineStr">
        <is>
          <t>Poly(2-hydroxyethyl methacrylate)</t>
        </is>
      </c>
      <c r="C57" s="39" t="inlineStr">
        <is>
          <t>PHEMA</t>
        </is>
      </c>
      <c r="D57" s="39" t="inlineStr">
        <is>
          <t>Methacrylic</t>
        </is>
      </c>
      <c r="E57" s="39" t="inlineStr">
        <is>
          <t>*CC(C)(C(=O)OCCO)*</t>
        </is>
      </c>
      <c r="F57" s="39" t="inlineStr">
        <is>
          <t>PASS</t>
        </is>
      </c>
      <c r="G57" s="39" t="str"/>
      <c r="H57" s="158" t="n">
        <v>57</v>
      </c>
      <c r="I57" s="158" t="n">
        <v>57</v>
      </c>
      <c r="J57" s="158" t="n">
        <v>57</v>
      </c>
      <c r="K57" s="39" t="inlineStr">
        <is>
          <t>MERCK_TG</t>
        </is>
      </c>
      <c r="L57" s="159" t="n"/>
      <c r="M57" s="159" t="n"/>
      <c r="N57" s="159" t="n"/>
      <c r="O57" s="39" t="n"/>
      <c r="P57" s="159" t="n"/>
      <c r="Q57" s="159" t="n"/>
      <c r="R57" s="159" t="n"/>
      <c r="S57" s="39" t="n"/>
      <c r="T57" s="39" t="n">
        <v>1</v>
      </c>
      <c r="U57" s="39" t="inlineStr">
        <is>
          <t>C</t>
        </is>
      </c>
      <c r="V57" s="39" t="str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9" t="n">
        <v>54</v>
      </c>
      <c r="B58" s="39" t="inlineStr">
        <is>
          <t>Poly(isobornyl acrylate)</t>
        </is>
      </c>
      <c r="C58" s="39" t="inlineStr">
        <is>
          <t>PIBoA</t>
        </is>
      </c>
      <c r="D58" s="39" t="inlineStr">
        <is>
          <t>Acrylic</t>
        </is>
      </c>
      <c r="E58" s="39" t="inlineStr">
        <is>
          <t>*CC(C(=O)OC1CC2CCC1(C)C2(C)C)*</t>
        </is>
      </c>
      <c r="F58" s="39" t="inlineStr">
        <is>
          <t>PASS</t>
        </is>
      </c>
      <c r="G58" s="39" t="str"/>
      <c r="H58" s="158" t="n">
        <v>94</v>
      </c>
      <c r="I58" s="158" t="n">
        <v>94</v>
      </c>
      <c r="J58" s="158" t="n">
        <v>94</v>
      </c>
      <c r="K58" s="39" t="inlineStr">
        <is>
          <t>MERCK_TG</t>
        </is>
      </c>
      <c r="L58" s="159" t="n"/>
      <c r="M58" s="159" t="n"/>
      <c r="N58" s="159" t="n"/>
      <c r="O58" s="39" t="n"/>
      <c r="P58" s="159" t="n"/>
      <c r="Q58" s="159" t="n"/>
      <c r="R58" s="159" t="n"/>
      <c r="S58" s="39" t="n"/>
      <c r="T58" s="39" t="n">
        <v>1</v>
      </c>
      <c r="U58" s="39" t="inlineStr">
        <is>
          <t>C</t>
        </is>
      </c>
      <c r="V58" s="39" t="str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9" t="n">
        <v>55</v>
      </c>
      <c r="B59" s="39" t="inlineStr">
        <is>
          <t>Poly(isobornyl methacrylate)</t>
        </is>
      </c>
      <c r="C59" s="39" t="inlineStr">
        <is>
          <t>PIBoMA</t>
        </is>
      </c>
      <c r="D59" s="39" t="inlineStr">
        <is>
          <t>Methacrylic</t>
        </is>
      </c>
      <c r="E59" s="39" t="inlineStr">
        <is>
          <t>*CC(C)(C(=O)OC1CC2CCC1(C)C2(C)C)*</t>
        </is>
      </c>
      <c r="F59" s="39" t="inlineStr">
        <is>
          <t>PASS</t>
        </is>
      </c>
      <c r="G59" s="39" t="str"/>
      <c r="H59" s="158" t="n">
        <v>110</v>
      </c>
      <c r="I59" s="158" t="n">
        <v>110</v>
      </c>
      <c r="J59" s="158" t="n">
        <v>110</v>
      </c>
      <c r="K59" s="39" t="inlineStr">
        <is>
          <t>MERCK_TG</t>
        </is>
      </c>
      <c r="L59" s="159" t="n"/>
      <c r="M59" s="159" t="n"/>
      <c r="N59" s="159" t="n"/>
      <c r="O59" s="39" t="n"/>
      <c r="P59" s="159" t="n"/>
      <c r="Q59" s="159" t="n"/>
      <c r="R59" s="159" t="n"/>
      <c r="S59" s="39" t="n"/>
      <c r="T59" s="39" t="n">
        <v>1</v>
      </c>
      <c r="U59" s="39" t="inlineStr">
        <is>
          <t>C</t>
        </is>
      </c>
      <c r="V59" s="39" t="str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9" t="n">
        <v>56</v>
      </c>
      <c r="B60" s="39" t="inlineStr">
        <is>
          <t>Poly(isobutyl acrylate)</t>
        </is>
      </c>
      <c r="C60" s="39" t="inlineStr">
        <is>
          <t>PiBA</t>
        </is>
      </c>
      <c r="D60" s="39" t="inlineStr">
        <is>
          <t>Acrylic</t>
        </is>
      </c>
      <c r="E60" s="39" t="inlineStr">
        <is>
          <t>*CC(C(=O)OCC(C)C)*</t>
        </is>
      </c>
      <c r="F60" s="39" t="inlineStr">
        <is>
          <t>PASS</t>
        </is>
      </c>
      <c r="G60" s="39" t="str"/>
      <c r="H60" s="158" t="n">
        <v>-24</v>
      </c>
      <c r="I60" s="158" t="n">
        <v>-24</v>
      </c>
      <c r="J60" s="158" t="n">
        <v>-24</v>
      </c>
      <c r="K60" s="39" t="inlineStr">
        <is>
          <t>MERCK_TG</t>
        </is>
      </c>
      <c r="L60" s="159" t="n"/>
      <c r="M60" s="159" t="n"/>
      <c r="N60" s="159" t="n"/>
      <c r="O60" s="39" t="n"/>
      <c r="P60" s="159" t="n"/>
      <c r="Q60" s="159" t="n"/>
      <c r="R60" s="159" t="n"/>
      <c r="S60" s="39" t="n"/>
      <c r="T60" s="39" t="n">
        <v>1</v>
      </c>
      <c r="U60" s="39" t="inlineStr">
        <is>
          <t>C</t>
        </is>
      </c>
      <c r="V60" s="39" t="str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9" t="n">
        <v>57</v>
      </c>
      <c r="B61" s="39" t="inlineStr">
        <is>
          <t>Polyisobutylene</t>
        </is>
      </c>
      <c r="C61" s="39" t="inlineStr">
        <is>
          <t>PIB</t>
        </is>
      </c>
      <c r="D61" s="39" t="inlineStr">
        <is>
          <t>Polyolefin / rubber</t>
        </is>
      </c>
      <c r="E61" s="39" t="inlineStr">
        <is>
          <t>*CC(C)(C)*</t>
        </is>
      </c>
      <c r="F61" s="39" t="inlineStr">
        <is>
          <t>PASS</t>
        </is>
      </c>
      <c r="G61" s="39" t="inlineStr">
        <is>
          <t>High</t>
        </is>
      </c>
      <c r="H61" s="158" t="n">
        <v>-73</v>
      </c>
      <c r="I61" s="158" t="n">
        <v>-73</v>
      </c>
      <c r="J61" s="158" t="n">
        <v>-73</v>
      </c>
      <c r="K61" s="39" t="inlineStr">
        <is>
          <t>MERCK_TG</t>
        </is>
      </c>
      <c r="L61" s="159" t="n"/>
      <c r="M61" s="159" t="n"/>
      <c r="N61" s="159" t="n"/>
      <c r="O61" s="39" t="n"/>
      <c r="P61" s="159" t="n"/>
      <c r="Q61" s="159" t="n"/>
      <c r="R61" s="159" t="n"/>
      <c r="S61" s="39" t="n"/>
      <c r="T61" s="39" t="n">
        <v>1</v>
      </c>
      <c r="U61" s="39" t="inlineStr">
        <is>
          <t>C</t>
        </is>
      </c>
      <c r="V61" s="39" t="inlineStr">
        <is>
          <t>Backbone proxy for butyl rubber major component; IIR itself is a copolymer with small isoprene fraction.</t>
        </is>
      </c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9" t="n">
        <v>58</v>
      </c>
      <c r="B62" s="39" t="inlineStr">
        <is>
          <t>Poly(isobutyl methacrylate)</t>
        </is>
      </c>
      <c r="C62" s="39" t="inlineStr">
        <is>
          <t>PiBMA</t>
        </is>
      </c>
      <c r="D62" s="39" t="inlineStr">
        <is>
          <t>Methacrylic</t>
        </is>
      </c>
      <c r="E62" s="39" t="inlineStr">
        <is>
          <t>*CC(C)(C(=O)OCC(C)C)*</t>
        </is>
      </c>
      <c r="F62" s="39" t="inlineStr">
        <is>
          <t>PASS</t>
        </is>
      </c>
      <c r="G62" s="39" t="str"/>
      <c r="H62" s="158" t="n">
        <v>53</v>
      </c>
      <c r="I62" s="158" t="n">
        <v>53</v>
      </c>
      <c r="J62" s="158" t="n">
        <v>53</v>
      </c>
      <c r="K62" s="39" t="inlineStr">
        <is>
          <t>MERCK_TG</t>
        </is>
      </c>
      <c r="L62" s="159" t="n"/>
      <c r="M62" s="159" t="n"/>
      <c r="N62" s="159" t="n"/>
      <c r="O62" s="39" t="n"/>
      <c r="P62" s="159" t="n"/>
      <c r="Q62" s="159" t="n"/>
      <c r="R62" s="159" t="n"/>
      <c r="S62" s="39" t="n"/>
      <c r="T62" s="39" t="n">
        <v>1</v>
      </c>
      <c r="U62" s="39" t="inlineStr">
        <is>
          <t>C</t>
        </is>
      </c>
      <c r="V62" s="39" t="str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9" t="n">
        <v>59</v>
      </c>
      <c r="B63" s="39" t="inlineStr">
        <is>
          <t>cis-1,4-Polyisoprene / NR backbone</t>
        </is>
      </c>
      <c r="C63" s="39" t="inlineStr">
        <is>
          <t>PI/NR</t>
        </is>
      </c>
      <c r="D63" s="39" t="inlineStr">
        <is>
          <t>Diene rubber</t>
        </is>
      </c>
      <c r="E63" s="39" t="inlineStr">
        <is>
          <t>*CC(C)=CC*</t>
        </is>
      </c>
      <c r="F63" s="39" t="inlineStr">
        <is>
          <t>PASS</t>
        </is>
      </c>
      <c r="G63" s="39" t="inlineStr">
        <is>
          <t>High</t>
        </is>
      </c>
      <c r="H63" s="158" t="n">
        <v>-58.15</v>
      </c>
      <c r="I63" s="158" t="n">
        <v>-58.15</v>
      </c>
      <c r="J63" s="158" t="n">
        <v>-58.15</v>
      </c>
      <c r="K63" s="39" t="inlineStr">
        <is>
          <t>RUBBER_PALS</t>
        </is>
      </c>
      <c r="L63" s="159" t="n">
        <v>0.917</v>
      </c>
      <c r="M63" s="159" t="n">
        <v>0.91</v>
      </c>
      <c r="N63" s="159" t="n">
        <v>0.917</v>
      </c>
      <c r="O63" s="39" t="inlineStr">
        <is>
          <t>SBR_NR_DENS</t>
        </is>
      </c>
      <c r="P63" s="159" t="n">
        <v>0.14</v>
      </c>
      <c r="Q63" s="159" t="n">
        <v>0.134</v>
      </c>
      <c r="R63" s="159" t="n">
        <v>0.145</v>
      </c>
      <c r="S63" s="39" t="inlineStr">
        <is>
          <t>RUBBER_TC</t>
        </is>
      </c>
      <c r="T63" s="39" t="n">
        <v>3</v>
      </c>
      <c r="U63" s="39" t="inlineStr">
        <is>
          <t>A</t>
        </is>
      </c>
      <c r="V63" s="39" t="inlineStr">
        <is>
          <t>Tg from cured high-cis PI; density includes high-cis PI/NR references; Tc untreated PI.</t>
        </is>
      </c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9" t="n">
        <v>60</v>
      </c>
      <c r="B64" s="39" t="inlineStr">
        <is>
          <t>trans-1,4-Polyisoprene reference</t>
        </is>
      </c>
      <c r="C64" s="39" t="inlineStr">
        <is>
          <t>trans-PI</t>
        </is>
      </c>
      <c r="D64" s="39" t="inlineStr">
        <is>
          <t>Diene rubber</t>
        </is>
      </c>
      <c r="E64" s="39" t="inlineStr">
        <is>
          <t>*CC(C)=CC*</t>
        </is>
      </c>
      <c r="F64" s="39" t="inlineStr">
        <is>
          <t>PASS</t>
        </is>
      </c>
      <c r="G64" s="39" t="str"/>
      <c r="H64" s="158" t="n">
        <v>-66</v>
      </c>
      <c r="I64" s="158" t="n">
        <v>-66</v>
      </c>
      <c r="J64" s="158" t="n">
        <v>-66</v>
      </c>
      <c r="K64" s="39" t="inlineStr">
        <is>
          <t>MERCK_TG</t>
        </is>
      </c>
      <c r="L64" s="159" t="n"/>
      <c r="M64" s="159" t="n"/>
      <c r="N64" s="159" t="n"/>
      <c r="O64" s="39" t="n"/>
      <c r="P64" s="159" t="n"/>
      <c r="Q64" s="159" t="n"/>
      <c r="R64" s="159" t="n"/>
      <c r="S64" s="39" t="n"/>
      <c r="T64" s="39" t="n">
        <v>1</v>
      </c>
      <c r="U64" s="39" t="inlineStr">
        <is>
          <t>C</t>
        </is>
      </c>
      <c r="V64" s="39" t="str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9" t="n">
        <v>61</v>
      </c>
      <c r="B65" s="39" t="inlineStr">
        <is>
          <t>Poly(N-isopropylacrylamide)</t>
        </is>
      </c>
      <c r="C65" s="39" t="inlineStr">
        <is>
          <t>PNIPAM</t>
        </is>
      </c>
      <c r="D65" s="39" t="inlineStr">
        <is>
          <t>Acrylamide</t>
        </is>
      </c>
      <c r="E65" s="39" t="inlineStr">
        <is>
          <t>*CC(C(=O)NC(C)C)*</t>
        </is>
      </c>
      <c r="F65" s="39" t="inlineStr">
        <is>
          <t>PASS</t>
        </is>
      </c>
      <c r="G65" s="39" t="str"/>
      <c r="H65" s="158" t="n"/>
      <c r="I65" s="158" t="n">
        <v>85</v>
      </c>
      <c r="J65" s="158" t="n">
        <v>130</v>
      </c>
      <c r="K65" s="39" t="inlineStr">
        <is>
          <t>MERCK_TG</t>
        </is>
      </c>
      <c r="L65" s="159" t="n"/>
      <c r="M65" s="159" t="n"/>
      <c r="N65" s="159" t="n"/>
      <c r="O65" s="39" t="n"/>
      <c r="P65" s="159" t="n"/>
      <c r="Q65" s="159" t="n"/>
      <c r="R65" s="159" t="n"/>
      <c r="S65" s="39" t="n"/>
      <c r="T65" s="39" t="n">
        <v>1</v>
      </c>
      <c r="U65" s="39" t="inlineStr">
        <is>
          <t>C</t>
        </is>
      </c>
      <c r="V65" s="39" t="str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9" t="n">
        <v>62</v>
      </c>
      <c r="B66" s="39" t="inlineStr">
        <is>
          <t>Poly(isopropyl methacrylate)</t>
        </is>
      </c>
      <c r="C66" s="39" t="inlineStr">
        <is>
          <t>PiPMA</t>
        </is>
      </c>
      <c r="D66" s="39" t="inlineStr">
        <is>
          <t>Methacrylic</t>
        </is>
      </c>
      <c r="E66" s="39" t="inlineStr">
        <is>
          <t>*CC(C)(C(=O)OC(C)C)*</t>
        </is>
      </c>
      <c r="F66" s="39" t="inlineStr">
        <is>
          <t>PASS</t>
        </is>
      </c>
      <c r="G66" s="39" t="str"/>
      <c r="H66" s="158" t="n">
        <v>81</v>
      </c>
      <c r="I66" s="158" t="n">
        <v>81</v>
      </c>
      <c r="J66" s="158" t="n">
        <v>81</v>
      </c>
      <c r="K66" s="39" t="inlineStr">
        <is>
          <t>MERCK_TG</t>
        </is>
      </c>
      <c r="L66" s="159" t="n"/>
      <c r="M66" s="159" t="n"/>
      <c r="N66" s="159" t="n"/>
      <c r="O66" s="39" t="n"/>
      <c r="P66" s="159" t="n"/>
      <c r="Q66" s="159" t="n"/>
      <c r="R66" s="159" t="n"/>
      <c r="S66" s="39" t="n"/>
      <c r="T66" s="39" t="n">
        <v>1</v>
      </c>
      <c r="U66" s="39" t="inlineStr">
        <is>
          <t>C</t>
        </is>
      </c>
      <c r="V66" s="39" t="str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9" t="n">
        <v>63</v>
      </c>
      <c r="B67" s="39" t="inlineStr">
        <is>
          <t>Poly(methacrylic acid)</t>
        </is>
      </c>
      <c r="C67" s="39" t="inlineStr">
        <is>
          <t>PMAA</t>
        </is>
      </c>
      <c r="D67" s="39" t="inlineStr">
        <is>
          <t>Methacrylic</t>
        </is>
      </c>
      <c r="E67" s="39" t="inlineStr">
        <is>
          <t>*CC(C)(C(=O)O)*</t>
        </is>
      </c>
      <c r="F67" s="39" t="inlineStr">
        <is>
          <t>PASS</t>
        </is>
      </c>
      <c r="G67" s="39" t="str"/>
      <c r="H67" s="158" t="n">
        <v>228</v>
      </c>
      <c r="I67" s="158" t="n">
        <v>228</v>
      </c>
      <c r="J67" s="158" t="n">
        <v>228</v>
      </c>
      <c r="K67" s="39" t="inlineStr">
        <is>
          <t>MERCK_TG</t>
        </is>
      </c>
      <c r="L67" s="159" t="n"/>
      <c r="M67" s="159" t="n"/>
      <c r="N67" s="159" t="n"/>
      <c r="O67" s="39" t="n"/>
      <c r="P67" s="159" t="n"/>
      <c r="Q67" s="159" t="n"/>
      <c r="R67" s="159" t="n"/>
      <c r="S67" s="39" t="n"/>
      <c r="T67" s="39" t="n">
        <v>1</v>
      </c>
      <c r="U67" s="39" t="inlineStr">
        <is>
          <t>C</t>
        </is>
      </c>
      <c r="V67" s="39" t="str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9" t="n">
        <v>64</v>
      </c>
      <c r="B68" s="39" t="inlineStr">
        <is>
          <t>Poly(methacrylonitrile)</t>
        </is>
      </c>
      <c r="C68" s="39" t="inlineStr">
        <is>
          <t>PMAN</t>
        </is>
      </c>
      <c r="D68" s="39" t="inlineStr">
        <is>
          <t>Nitrile vinyl</t>
        </is>
      </c>
      <c r="E68" s="39" t="inlineStr">
        <is>
          <t>*CC(C)(C#N)*</t>
        </is>
      </c>
      <c r="F68" s="39" t="inlineStr">
        <is>
          <t>PASS</t>
        </is>
      </c>
      <c r="G68" s="39" t="str"/>
      <c r="H68" s="158" t="n">
        <v>120</v>
      </c>
      <c r="I68" s="158" t="n">
        <v>120</v>
      </c>
      <c r="J68" s="158" t="n">
        <v>120</v>
      </c>
      <c r="K68" s="39" t="inlineStr">
        <is>
          <t>MERCK_TG</t>
        </is>
      </c>
      <c r="L68" s="159" t="n"/>
      <c r="M68" s="159" t="n"/>
      <c r="N68" s="159" t="n"/>
      <c r="O68" s="39" t="n"/>
      <c r="P68" s="159" t="n"/>
      <c r="Q68" s="159" t="n"/>
      <c r="R68" s="159" t="n"/>
      <c r="S68" s="39" t="n"/>
      <c r="T68" s="39" t="n">
        <v>1</v>
      </c>
      <c r="U68" s="39" t="inlineStr">
        <is>
          <t>C</t>
        </is>
      </c>
      <c r="V68" s="39" t="str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9" t="n">
        <v>65</v>
      </c>
      <c r="B69" s="39" t="inlineStr">
        <is>
          <t>Poly(2-methoxyethyl acrylate)</t>
        </is>
      </c>
      <c r="C69" s="39" t="inlineStr">
        <is>
          <t>PMEA</t>
        </is>
      </c>
      <c r="D69" s="39" t="inlineStr">
        <is>
          <t>Acrylic</t>
        </is>
      </c>
      <c r="E69" s="39" t="inlineStr">
        <is>
          <t>*CC(C(=O)OCCOC)*</t>
        </is>
      </c>
      <c r="F69" s="39" t="inlineStr">
        <is>
          <t>PASS</t>
        </is>
      </c>
      <c r="G69" s="39" t="str"/>
      <c r="H69" s="158" t="n">
        <v>-50</v>
      </c>
      <c r="I69" s="158" t="n">
        <v>-50</v>
      </c>
      <c r="J69" s="158" t="n">
        <v>-50</v>
      </c>
      <c r="K69" s="39" t="inlineStr">
        <is>
          <t>MERCK_TG</t>
        </is>
      </c>
      <c r="L69" s="159" t="n"/>
      <c r="M69" s="159" t="n"/>
      <c r="N69" s="159" t="n"/>
      <c r="O69" s="39" t="n"/>
      <c r="P69" s="159" t="n"/>
      <c r="Q69" s="159" t="n"/>
      <c r="R69" s="159" t="n"/>
      <c r="S69" s="39" t="n"/>
      <c r="T69" s="39" t="n">
        <v>1</v>
      </c>
      <c r="U69" s="39" t="inlineStr">
        <is>
          <t>C</t>
        </is>
      </c>
      <c r="V69" s="39" t="str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9" t="n">
        <v>66</v>
      </c>
      <c r="B70" s="39" t="inlineStr">
        <is>
          <t>Poly(4-methoxystyrene)</t>
        </is>
      </c>
      <c r="C70" s="39" t="inlineStr">
        <is>
          <t>P4MOS</t>
        </is>
      </c>
      <c r="D70" s="39" t="inlineStr">
        <is>
          <t>Styrenic</t>
        </is>
      </c>
      <c r="E70" s="39" t="inlineStr">
        <is>
          <t>*CC(c1ccc(OC)cc1)*</t>
        </is>
      </c>
      <c r="F70" s="39" t="inlineStr">
        <is>
          <t>PASS</t>
        </is>
      </c>
      <c r="G70" s="39" t="str"/>
      <c r="H70" s="158" t="n">
        <v>113</v>
      </c>
      <c r="I70" s="158" t="n">
        <v>113</v>
      </c>
      <c r="J70" s="158" t="n">
        <v>113</v>
      </c>
      <c r="K70" s="39" t="inlineStr">
        <is>
          <t>MERCK_TG</t>
        </is>
      </c>
      <c r="L70" s="159" t="n"/>
      <c r="M70" s="159" t="n"/>
      <c r="N70" s="159" t="n"/>
      <c r="O70" s="39" t="n"/>
      <c r="P70" s="159" t="n"/>
      <c r="Q70" s="159" t="n"/>
      <c r="R70" s="159" t="n"/>
      <c r="S70" s="39" t="n"/>
      <c r="T70" s="39" t="n">
        <v>1</v>
      </c>
      <c r="U70" s="39" t="inlineStr">
        <is>
          <t>C</t>
        </is>
      </c>
      <c r="V70" s="39" t="str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9" t="n">
        <v>67</v>
      </c>
      <c r="B71" s="39" t="inlineStr">
        <is>
          <t>Poly(methyl acrylate)</t>
        </is>
      </c>
      <c r="C71" s="39" t="inlineStr">
        <is>
          <t>PMA</t>
        </is>
      </c>
      <c r="D71" s="39" t="inlineStr">
        <is>
          <t>Acrylic</t>
        </is>
      </c>
      <c r="E71" s="39" t="inlineStr">
        <is>
          <t>*CC(C(=O)OC)*</t>
        </is>
      </c>
      <c r="F71" s="39" t="inlineStr">
        <is>
          <t>PASS</t>
        </is>
      </c>
      <c r="G71" s="39" t="inlineStr">
        <is>
          <t>High</t>
        </is>
      </c>
      <c r="H71" s="158" t="n">
        <v>8.9</v>
      </c>
      <c r="I71" s="158" t="n">
        <v>8.9</v>
      </c>
      <c r="J71" s="158" t="n">
        <v>8.9</v>
      </c>
      <c r="K71" s="39" t="inlineStr">
        <is>
          <t>POLYACRYLATE</t>
        </is>
      </c>
      <c r="L71" s="159" t="n">
        <v>1.22</v>
      </c>
      <c r="M71" s="159" t="n">
        <v>1.22</v>
      </c>
      <c r="N71" s="159" t="n">
        <v>1.22</v>
      </c>
      <c r="O71" s="39" t="inlineStr">
        <is>
          <t>POLYACRYLATE</t>
        </is>
      </c>
      <c r="P71" s="159" t="n"/>
      <c r="Q71" s="159" t="n"/>
      <c r="R71" s="159" t="n"/>
      <c r="S71" s="39" t="n"/>
      <c r="T71" s="39" t="n">
        <v>2</v>
      </c>
      <c r="U71" s="39" t="inlineStr">
        <is>
          <t>B</t>
        </is>
      </c>
      <c r="V71" s="39" t="str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9" t="n">
        <v>68</v>
      </c>
      <c r="B72" s="39" t="inlineStr">
        <is>
          <t>Atactic PMMA</t>
        </is>
      </c>
      <c r="C72" s="39" t="inlineStr">
        <is>
          <t>a-PMMA</t>
        </is>
      </c>
      <c r="D72" s="39" t="inlineStr">
        <is>
          <t>Methacrylic</t>
        </is>
      </c>
      <c r="E72" s="39" t="inlineStr">
        <is>
          <t>*CC(C)(C(=O)OC)*</t>
        </is>
      </c>
      <c r="F72" s="39" t="inlineStr">
        <is>
          <t>PASS</t>
        </is>
      </c>
      <c r="G72" s="39" t="str"/>
      <c r="H72" s="158" t="n">
        <v>105</v>
      </c>
      <c r="I72" s="158" t="n">
        <v>105</v>
      </c>
      <c r="J72" s="158" t="n">
        <v>105</v>
      </c>
      <c r="K72" s="39" t="inlineStr">
        <is>
          <t>MERCK_TG</t>
        </is>
      </c>
      <c r="L72" s="159" t="n">
        <v>1.19</v>
      </c>
      <c r="M72" s="159" t="n">
        <v>1.17</v>
      </c>
      <c r="N72" s="159" t="n">
        <v>1.2</v>
      </c>
      <c r="O72" s="39" t="inlineStr">
        <is>
          <t>PLASTICS_BOOK</t>
        </is>
      </c>
      <c r="P72" s="159" t="n">
        <v>0.2</v>
      </c>
      <c r="Q72" s="159" t="n">
        <v>0.17</v>
      </c>
      <c r="R72" s="159" t="n">
        <v>0.25</v>
      </c>
      <c r="S72" s="39" t="inlineStr">
        <is>
          <t>TC_REVIEW</t>
        </is>
      </c>
      <c r="T72" s="39" t="n">
        <v>3</v>
      </c>
      <c r="U72" s="39" t="inlineStr">
        <is>
          <t>A</t>
        </is>
      </c>
      <c r="V72" s="39" t="str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9" t="n">
        <v>69</v>
      </c>
      <c r="B73" s="39" t="inlineStr">
        <is>
          <t>Syndiotactic PMMA</t>
        </is>
      </c>
      <c r="C73" s="39" t="inlineStr">
        <is>
          <t>s-PMMA</t>
        </is>
      </c>
      <c r="D73" s="39" t="inlineStr">
        <is>
          <t>Methacrylic</t>
        </is>
      </c>
      <c r="E73" s="39" t="inlineStr">
        <is>
          <t>*CC(C)(C(=O)OC)*</t>
        </is>
      </c>
      <c r="F73" s="39" t="inlineStr">
        <is>
          <t>PASS</t>
        </is>
      </c>
      <c r="G73" s="39" t="str"/>
      <c r="H73" s="158" t="n">
        <v>115</v>
      </c>
      <c r="I73" s="158" t="n">
        <v>115</v>
      </c>
      <c r="J73" s="158" t="n">
        <v>115</v>
      </c>
      <c r="K73" s="39" t="inlineStr">
        <is>
          <t>MERCK_TG</t>
        </is>
      </c>
      <c r="L73" s="159" t="n">
        <v>1.19</v>
      </c>
      <c r="M73" s="159" t="n">
        <v>1.17</v>
      </c>
      <c r="N73" s="159" t="n">
        <v>1.2</v>
      </c>
      <c r="O73" s="39" t="inlineStr">
        <is>
          <t>PLASTICS_BOOK</t>
        </is>
      </c>
      <c r="P73" s="159" t="n">
        <v>0.2</v>
      </c>
      <c r="Q73" s="159" t="n">
        <v>0.17</v>
      </c>
      <c r="R73" s="159" t="n">
        <v>0.25</v>
      </c>
      <c r="S73" s="39" t="inlineStr">
        <is>
          <t>TC_REVIEW</t>
        </is>
      </c>
      <c r="T73" s="39" t="n">
        <v>3</v>
      </c>
      <c r="U73" s="39" t="inlineStr">
        <is>
          <t>A</t>
        </is>
      </c>
      <c r="V73" s="39" t="inlineStr">
        <is>
          <t>Density/Tc reference is generic PMMA; tacticity-specific values may differ.</t>
        </is>
      </c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9" t="n">
        <v>70</v>
      </c>
      <c r="B74" s="39" t="inlineStr">
        <is>
          <t>Poly(4-methyl-1-pentene)</t>
        </is>
      </c>
      <c r="C74" s="39" t="inlineStr">
        <is>
          <t>P4MP</t>
        </is>
      </c>
      <c r="D74" s="39" t="inlineStr">
        <is>
          <t>Polyolefin</t>
        </is>
      </c>
      <c r="E74" s="39" t="inlineStr">
        <is>
          <t>*CC(CC(C)C)*</t>
        </is>
      </c>
      <c r="F74" s="39" t="inlineStr">
        <is>
          <t>PASS</t>
        </is>
      </c>
      <c r="G74" s="39" t="inlineStr">
        <is>
          <t>High</t>
        </is>
      </c>
      <c r="H74" s="158" t="n">
        <v>25</v>
      </c>
      <c r="I74" s="158" t="n">
        <v>25</v>
      </c>
      <c r="J74" s="158" t="n">
        <v>25</v>
      </c>
      <c r="K74" s="39" t="inlineStr">
        <is>
          <t>PLASTICS_BOOK</t>
        </is>
      </c>
      <c r="L74" s="159" t="n">
        <v>0.83</v>
      </c>
      <c r="M74" s="159" t="n">
        <v>0.83</v>
      </c>
      <c r="N74" s="159" t="n">
        <v>0.83</v>
      </c>
      <c r="O74" s="39" t="inlineStr">
        <is>
          <t>PLASTICS_BOOK</t>
        </is>
      </c>
      <c r="P74" s="159" t="n"/>
      <c r="Q74" s="159" t="n"/>
      <c r="R74" s="159" t="n"/>
      <c r="S74" s="39" t="n"/>
      <c r="T74" s="39" t="n">
        <v>2</v>
      </c>
      <c r="U74" s="39" t="inlineStr">
        <is>
          <t>B</t>
        </is>
      </c>
      <c r="V74" s="39" t="str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9" t="n">
        <v>71</v>
      </c>
      <c r="B75" s="39" t="inlineStr">
        <is>
          <t>Poly(methylphenylsiloxane)</t>
        </is>
      </c>
      <c r="C75" s="39" t="inlineStr">
        <is>
          <t>PMPS</t>
        </is>
      </c>
      <c r="D75" s="39" t="inlineStr">
        <is>
          <t>Siloxane</t>
        </is>
      </c>
      <c r="E75" s="39" t="inlineStr">
        <is>
          <t>*O[Si](C)(c1ccccc1)*</t>
        </is>
      </c>
      <c r="F75" s="39" t="inlineStr">
        <is>
          <t>PASS</t>
        </is>
      </c>
      <c r="G75" s="39" t="str"/>
      <c r="H75" s="158" t="n">
        <v>-86</v>
      </c>
      <c r="I75" s="158" t="n">
        <v>-86</v>
      </c>
      <c r="J75" s="158" t="n">
        <v>-86</v>
      </c>
      <c r="K75" s="39" t="inlineStr">
        <is>
          <t>MERCK_TG</t>
        </is>
      </c>
      <c r="L75" s="159" t="n"/>
      <c r="M75" s="159" t="n"/>
      <c r="N75" s="159" t="n"/>
      <c r="O75" s="39" t="n"/>
      <c r="P75" s="159" t="n"/>
      <c r="Q75" s="159" t="n"/>
      <c r="R75" s="159" t="n"/>
      <c r="S75" s="39" t="n"/>
      <c r="T75" s="39" t="n">
        <v>1</v>
      </c>
      <c r="U75" s="39" t="inlineStr">
        <is>
          <t>C</t>
        </is>
      </c>
      <c r="V75" s="39" t="str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9" t="n">
        <v>72</v>
      </c>
      <c r="B76" s="39" t="inlineStr">
        <is>
          <t>Poly(3-methylstyrene)</t>
        </is>
      </c>
      <c r="C76" s="39" t="inlineStr">
        <is>
          <t>P3MS</t>
        </is>
      </c>
      <c r="D76" s="39" t="inlineStr">
        <is>
          <t>Styrenic</t>
        </is>
      </c>
      <c r="E76" s="39" t="inlineStr">
        <is>
          <t>*CC(c1cccc(C)c1)*</t>
        </is>
      </c>
      <c r="F76" s="39" t="inlineStr">
        <is>
          <t>PASS</t>
        </is>
      </c>
      <c r="G76" s="39" t="str"/>
      <c r="H76" s="158" t="n">
        <v>97</v>
      </c>
      <c r="I76" s="158" t="n">
        <v>97</v>
      </c>
      <c r="J76" s="158" t="n">
        <v>97</v>
      </c>
      <c r="K76" s="39" t="inlineStr">
        <is>
          <t>MERCK_TG</t>
        </is>
      </c>
      <c r="L76" s="159" t="n"/>
      <c r="M76" s="159" t="n"/>
      <c r="N76" s="159" t="n"/>
      <c r="O76" s="39" t="n"/>
      <c r="P76" s="159" t="n"/>
      <c r="Q76" s="159" t="n"/>
      <c r="R76" s="159" t="n"/>
      <c r="S76" s="39" t="n"/>
      <c r="T76" s="39" t="n">
        <v>1</v>
      </c>
      <c r="U76" s="39" t="inlineStr">
        <is>
          <t>C</t>
        </is>
      </c>
      <c r="V76" s="39" t="str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9" t="n">
        <v>73</v>
      </c>
      <c r="B77" s="39" t="inlineStr">
        <is>
          <t>Poly(4-methylstyrene)</t>
        </is>
      </c>
      <c r="C77" s="39" t="inlineStr">
        <is>
          <t>P4MS</t>
        </is>
      </c>
      <c r="D77" s="39" t="inlineStr">
        <is>
          <t>Styrenic</t>
        </is>
      </c>
      <c r="E77" s="39" t="inlineStr">
        <is>
          <t>*CC(c1ccc(C)cc1)*</t>
        </is>
      </c>
      <c r="F77" s="39" t="inlineStr">
        <is>
          <t>PASS</t>
        </is>
      </c>
      <c r="G77" s="39" t="str"/>
      <c r="H77" s="158" t="n">
        <v>97</v>
      </c>
      <c r="I77" s="158" t="n">
        <v>97</v>
      </c>
      <c r="J77" s="158" t="n">
        <v>97</v>
      </c>
      <c r="K77" s="39" t="inlineStr">
        <is>
          <t>MERCK_TG</t>
        </is>
      </c>
      <c r="L77" s="159" t="n"/>
      <c r="M77" s="159" t="n"/>
      <c r="N77" s="159" t="n"/>
      <c r="O77" s="39" t="n"/>
      <c r="P77" s="159" t="n"/>
      <c r="Q77" s="159" t="n"/>
      <c r="R77" s="159" t="n"/>
      <c r="S77" s="39" t="n"/>
      <c r="T77" s="39" t="n">
        <v>1</v>
      </c>
      <c r="U77" s="39" t="inlineStr">
        <is>
          <t>C</t>
        </is>
      </c>
      <c r="V77" s="39" t="str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9" t="n">
        <v>74</v>
      </c>
      <c r="B78" s="39" t="inlineStr">
        <is>
          <t>Nylon 6 / Polyamide 6</t>
        </is>
      </c>
      <c r="C78" s="39" t="inlineStr">
        <is>
          <t>PA6</t>
        </is>
      </c>
      <c r="D78" s="39" t="inlineStr">
        <is>
          <t>Polyamide</t>
        </is>
      </c>
      <c r="E78" s="39" t="inlineStr">
        <is>
          <t>*NCCCCCC(=O)*</t>
        </is>
      </c>
      <c r="F78" s="39" t="inlineStr">
        <is>
          <t>PASS</t>
        </is>
      </c>
      <c r="G78" s="39" t="str"/>
      <c r="H78" s="158" t="n">
        <v>50</v>
      </c>
      <c r="I78" s="158" t="n">
        <v>50</v>
      </c>
      <c r="J78" s="158" t="n">
        <v>50</v>
      </c>
      <c r="K78" s="39" t="inlineStr">
        <is>
          <t>PLASTICS_BOOK</t>
        </is>
      </c>
      <c r="L78" s="159" t="n">
        <v>1.135</v>
      </c>
      <c r="M78" s="159" t="n">
        <v>1.12</v>
      </c>
      <c r="N78" s="159" t="n">
        <v>1.15</v>
      </c>
      <c r="O78" s="39" t="inlineStr">
        <is>
          <t>PLASTICS_BOOK</t>
        </is>
      </c>
      <c r="P78" s="159" t="n"/>
      <c r="Q78" s="159" t="n">
        <v>0.2</v>
      </c>
      <c r="R78" s="159" t="n">
        <v>0.3</v>
      </c>
      <c r="S78" s="39" t="inlineStr">
        <is>
          <t>TC_ENG</t>
        </is>
      </c>
      <c r="T78" s="39" t="n">
        <v>3</v>
      </c>
      <c r="U78" s="39" t="inlineStr">
        <is>
          <t>A</t>
        </is>
      </c>
      <c r="V78" s="39" t="str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9" t="n">
        <v>75</v>
      </c>
      <c r="B79" s="39" t="inlineStr">
        <is>
          <t>Nylon 6,6 / Polyamide 66</t>
        </is>
      </c>
      <c r="C79" s="39" t="inlineStr">
        <is>
          <t>PA66</t>
        </is>
      </c>
      <c r="D79" s="39" t="inlineStr">
        <is>
          <t>Polyamide</t>
        </is>
      </c>
      <c r="E79" s="39" t="inlineStr">
        <is>
          <t>*NCCCCCCNC(=O)CCCC(=O)*</t>
        </is>
      </c>
      <c r="F79" s="39" t="inlineStr">
        <is>
          <t>PASS</t>
        </is>
      </c>
      <c r="G79" s="39" t="str"/>
      <c r="H79" s="158" t="n">
        <v>57</v>
      </c>
      <c r="I79" s="158" t="n">
        <v>57</v>
      </c>
      <c r="J79" s="158" t="n">
        <v>57</v>
      </c>
      <c r="K79" s="39" t="inlineStr">
        <is>
          <t>PLASTICS_BOOK</t>
        </is>
      </c>
      <c r="L79" s="159" t="n">
        <v>1.145</v>
      </c>
      <c r="M79" s="159" t="n">
        <v>1.13</v>
      </c>
      <c r="N79" s="159" t="n">
        <v>1.16</v>
      </c>
      <c r="O79" s="39" t="inlineStr">
        <is>
          <t>PLASTICS_BOOK</t>
        </is>
      </c>
      <c r="P79" s="159" t="n"/>
      <c r="Q79" s="159" t="n">
        <v>0.2</v>
      </c>
      <c r="R79" s="159" t="n">
        <v>0.3</v>
      </c>
      <c r="S79" s="39" t="inlineStr">
        <is>
          <t>TC_ENG</t>
        </is>
      </c>
      <c r="T79" s="39" t="n">
        <v>3</v>
      </c>
      <c r="U79" s="39" t="inlineStr">
        <is>
          <t>A</t>
        </is>
      </c>
      <c r="V79" s="39" t="str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9" t="n">
        <v>76</v>
      </c>
      <c r="B80" s="39" t="inlineStr">
        <is>
          <t>Nylon 11</t>
        </is>
      </c>
      <c r="C80" s="39" t="inlineStr">
        <is>
          <t>PA11</t>
        </is>
      </c>
      <c r="D80" s="39" t="inlineStr">
        <is>
          <t>Polyamide</t>
        </is>
      </c>
      <c r="E80" s="39" t="inlineStr">
        <is>
          <t>*NCCCCCCCCCCC(=O)*</t>
        </is>
      </c>
      <c r="F80" s="39" t="inlineStr">
        <is>
          <t>PASS</t>
        </is>
      </c>
      <c r="G80" s="39" t="str"/>
      <c r="H80" s="158" t="n">
        <v>42</v>
      </c>
      <c r="I80" s="158" t="n">
        <v>42</v>
      </c>
      <c r="J80" s="158" t="n">
        <v>42</v>
      </c>
      <c r="K80" s="39" t="inlineStr">
        <is>
          <t>MERCK_TG</t>
        </is>
      </c>
      <c r="L80" s="159" t="n"/>
      <c r="M80" s="159" t="n"/>
      <c r="N80" s="159" t="n"/>
      <c r="O80" s="39" t="n"/>
      <c r="P80" s="159" t="n"/>
      <c r="Q80" s="159" t="n">
        <v>0.34</v>
      </c>
      <c r="R80" s="159" t="n">
        <v>0.35</v>
      </c>
      <c r="S80" s="39" t="inlineStr">
        <is>
          <t>TC_ENG</t>
        </is>
      </c>
      <c r="T80" s="39" t="n">
        <v>2</v>
      </c>
      <c r="U80" s="39" t="inlineStr">
        <is>
          <t>B</t>
        </is>
      </c>
      <c r="V80" s="39" t="str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9" t="n">
        <v>77</v>
      </c>
      <c r="B81" s="39" t="inlineStr">
        <is>
          <t>Nylon 12</t>
        </is>
      </c>
      <c r="C81" s="39" t="inlineStr">
        <is>
          <t>PA12</t>
        </is>
      </c>
      <c r="D81" s="39" t="inlineStr">
        <is>
          <t>Polyamide</t>
        </is>
      </c>
      <c r="E81" s="39" t="inlineStr">
        <is>
          <t>*NCCCCCCCCCCCC(=O)*</t>
        </is>
      </c>
      <c r="F81" s="39" t="inlineStr">
        <is>
          <t>PASS</t>
        </is>
      </c>
      <c r="G81" s="39" t="str"/>
      <c r="H81" s="158" t="n">
        <v>41</v>
      </c>
      <c r="I81" s="158" t="n">
        <v>41</v>
      </c>
      <c r="J81" s="158" t="n">
        <v>41</v>
      </c>
      <c r="K81" s="39" t="inlineStr">
        <is>
          <t>MERCK_TG</t>
        </is>
      </c>
      <c r="L81" s="159" t="n">
        <v>1.02</v>
      </c>
      <c r="M81" s="159" t="n">
        <v>1.02</v>
      </c>
      <c r="N81" s="159" t="n">
        <v>1.02</v>
      </c>
      <c r="O81" s="39" t="inlineStr">
        <is>
          <t>ENG_DENS</t>
        </is>
      </c>
      <c r="P81" s="159" t="n"/>
      <c r="Q81" s="159" t="n">
        <v>0.25</v>
      </c>
      <c r="R81" s="159" t="n">
        <v>0.35</v>
      </c>
      <c r="S81" s="39" t="inlineStr">
        <is>
          <t>TC_ENG</t>
        </is>
      </c>
      <c r="T81" s="39" t="n">
        <v>3</v>
      </c>
      <c r="U81" s="39" t="inlineStr">
        <is>
          <t>A</t>
        </is>
      </c>
      <c r="V81" s="39" t="str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9" t="n">
        <v>78</v>
      </c>
      <c r="B82" s="39" t="inlineStr">
        <is>
          <t>Poly(1-octadecene)</t>
        </is>
      </c>
      <c r="C82" s="39" t="inlineStr">
        <is>
          <t>POD</t>
        </is>
      </c>
      <c r="D82" s="39" t="inlineStr">
        <is>
          <t>Polyolefin</t>
        </is>
      </c>
      <c r="E82" s="39" t="inlineStr">
        <is>
          <t>*CC(CCCCCCCCCCCCCCCC)*</t>
        </is>
      </c>
      <c r="F82" s="39" t="inlineStr">
        <is>
          <t>PASS</t>
        </is>
      </c>
      <c r="G82" s="39" t="str"/>
      <c r="H82" s="158" t="n">
        <v>55</v>
      </c>
      <c r="I82" s="158" t="n">
        <v>55</v>
      </c>
      <c r="J82" s="158" t="n">
        <v>55</v>
      </c>
      <c r="K82" s="39" t="inlineStr">
        <is>
          <t>MERCK_TG</t>
        </is>
      </c>
      <c r="L82" s="159" t="n"/>
      <c r="M82" s="159" t="n"/>
      <c r="N82" s="159" t="n"/>
      <c r="O82" s="39" t="n"/>
      <c r="P82" s="159" t="n"/>
      <c r="Q82" s="159" t="n"/>
      <c r="R82" s="159" t="n"/>
      <c r="S82" s="39" t="n"/>
      <c r="T82" s="39" t="n">
        <v>1</v>
      </c>
      <c r="U82" s="39" t="inlineStr">
        <is>
          <t>C</t>
        </is>
      </c>
      <c r="V82" s="39" t="str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9" t="n">
        <v>79</v>
      </c>
      <c r="B83" s="39" t="inlineStr">
        <is>
          <t>Poly(octadecyl methacrylate)</t>
        </is>
      </c>
      <c r="C83" s="39" t="inlineStr">
        <is>
          <t>PODMA</t>
        </is>
      </c>
      <c r="D83" s="39" t="inlineStr">
        <is>
          <t>Methacrylic</t>
        </is>
      </c>
      <c r="E83" s="39" t="inlineStr">
        <is>
          <t>*CC(C)(C(=O)OCCCCCCCCCCCCCCCCCC)*</t>
        </is>
      </c>
      <c r="F83" s="39" t="inlineStr">
        <is>
          <t>PASS</t>
        </is>
      </c>
      <c r="G83" s="39" t="str"/>
      <c r="H83" s="158" t="n">
        <v>-100</v>
      </c>
      <c r="I83" s="158" t="n">
        <v>-100</v>
      </c>
      <c r="J83" s="158" t="n">
        <v>-100</v>
      </c>
      <c r="K83" s="39" t="inlineStr">
        <is>
          <t>MERCK_TG</t>
        </is>
      </c>
      <c r="L83" s="159" t="n"/>
      <c r="M83" s="159" t="n"/>
      <c r="N83" s="159" t="n"/>
      <c r="O83" s="39" t="n"/>
      <c r="P83" s="159" t="n"/>
      <c r="Q83" s="159" t="n"/>
      <c r="R83" s="159" t="n"/>
      <c r="S83" s="39" t="n"/>
      <c r="T83" s="39" t="n">
        <v>1</v>
      </c>
      <c r="U83" s="39" t="inlineStr">
        <is>
          <t>C</t>
        </is>
      </c>
      <c r="V83" s="39" t="str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9" t="n">
        <v>80</v>
      </c>
      <c r="B84" s="39" t="inlineStr">
        <is>
          <t>Poly(1-octene)</t>
        </is>
      </c>
      <c r="C84" s="39" t="inlineStr">
        <is>
          <t>PO</t>
        </is>
      </c>
      <c r="D84" s="39" t="inlineStr">
        <is>
          <t>Polyolefin</t>
        </is>
      </c>
      <c r="E84" s="39" t="inlineStr">
        <is>
          <t>*CC(CCCCCC)*</t>
        </is>
      </c>
      <c r="F84" s="39" t="inlineStr">
        <is>
          <t>PASS</t>
        </is>
      </c>
      <c r="G84" s="39" t="str"/>
      <c r="H84" s="158" t="n">
        <v>-63</v>
      </c>
      <c r="I84" s="158" t="n">
        <v>-63</v>
      </c>
      <c r="J84" s="158" t="n">
        <v>-63</v>
      </c>
      <c r="K84" s="39" t="inlineStr">
        <is>
          <t>MERCK_TG</t>
        </is>
      </c>
      <c r="L84" s="159" t="n"/>
      <c r="M84" s="159" t="n"/>
      <c r="N84" s="159" t="n"/>
      <c r="O84" s="39" t="n"/>
      <c r="P84" s="159" t="n"/>
      <c r="Q84" s="159" t="n"/>
      <c r="R84" s="159" t="n"/>
      <c r="S84" s="39" t="n"/>
      <c r="T84" s="39" t="n">
        <v>1</v>
      </c>
      <c r="U84" s="39" t="inlineStr">
        <is>
          <t>C</t>
        </is>
      </c>
      <c r="V84" s="39" t="str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9" t="n">
        <v>81</v>
      </c>
      <c r="B85" s="39" t="inlineStr">
        <is>
          <t>Poly(octyl methacrylate)</t>
        </is>
      </c>
      <c r="C85" s="39" t="inlineStr">
        <is>
          <t>POMA</t>
        </is>
      </c>
      <c r="D85" s="39" t="inlineStr">
        <is>
          <t>Methacrylic</t>
        </is>
      </c>
      <c r="E85" s="39" t="inlineStr">
        <is>
          <t>*CC(C)(C(=O)OCCCCCCCC)*</t>
        </is>
      </c>
      <c r="F85" s="39" t="inlineStr">
        <is>
          <t>PASS</t>
        </is>
      </c>
      <c r="G85" s="39" t="str"/>
      <c r="H85" s="158" t="n">
        <v>-20</v>
      </c>
      <c r="I85" s="158" t="n">
        <v>-20</v>
      </c>
      <c r="J85" s="158" t="n">
        <v>-20</v>
      </c>
      <c r="K85" s="39" t="inlineStr">
        <is>
          <t>MERCK_TG</t>
        </is>
      </c>
      <c r="L85" s="159" t="n"/>
      <c r="M85" s="159" t="n"/>
      <c r="N85" s="159" t="n"/>
      <c r="O85" s="39" t="n"/>
      <c r="P85" s="159" t="n"/>
      <c r="Q85" s="159" t="n"/>
      <c r="R85" s="159" t="n"/>
      <c r="S85" s="39" t="n"/>
      <c r="T85" s="39" t="n">
        <v>1</v>
      </c>
      <c r="U85" s="39" t="inlineStr">
        <is>
          <t>C</t>
        </is>
      </c>
      <c r="V85" s="39" t="str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9" t="n">
        <v>82</v>
      </c>
      <c r="B86" s="39" t="inlineStr">
        <is>
          <t>Poly(p-phenylene terephthalamide) / Kevlar-like</t>
        </is>
      </c>
      <c r="C86" s="39" t="inlineStr">
        <is>
          <t>PPTA</t>
        </is>
      </c>
      <c r="D86" s="39" t="inlineStr">
        <is>
          <t>Aramid</t>
        </is>
      </c>
      <c r="E86" s="39" t="inlineStr">
        <is>
          <t>*Nc1ccc(NC(=O)c2ccc(C(=O)*)cc2)cc1</t>
        </is>
      </c>
      <c r="F86" s="39" t="inlineStr">
        <is>
          <t>PASS</t>
        </is>
      </c>
      <c r="G86" s="39" t="str"/>
      <c r="H86" s="158" t="n">
        <v>345</v>
      </c>
      <c r="I86" s="158" t="n">
        <v>345</v>
      </c>
      <c r="J86" s="158" t="n">
        <v>345</v>
      </c>
      <c r="K86" s="39" t="inlineStr">
        <is>
          <t>MERCK_TG</t>
        </is>
      </c>
      <c r="L86" s="159" t="n"/>
      <c r="M86" s="159" t="n"/>
      <c r="N86" s="159" t="n"/>
      <c r="O86" s="39" t="n"/>
      <c r="P86" s="159" t="n"/>
      <c r="Q86" s="159" t="n"/>
      <c r="R86" s="159" t="n"/>
      <c r="S86" s="39" t="n"/>
      <c r="T86" s="39" t="n">
        <v>1</v>
      </c>
      <c r="U86" s="39" t="inlineStr">
        <is>
          <t>C</t>
        </is>
      </c>
      <c r="V86" s="39" t="str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9" t="n">
        <v>83</v>
      </c>
      <c r="B87" s="39" t="inlineStr">
        <is>
          <t>Poly(p-phenylene vinylene)</t>
        </is>
      </c>
      <c r="C87" s="39" t="inlineStr">
        <is>
          <t>PPV</t>
        </is>
      </c>
      <c r="D87" s="39" t="inlineStr">
        <is>
          <t>Conjugated aromatic</t>
        </is>
      </c>
      <c r="E87" s="39" t="inlineStr">
        <is>
          <t>*C=Cc1ccc(*)cc1</t>
        </is>
      </c>
      <c r="F87" s="39" t="inlineStr">
        <is>
          <t>PASS</t>
        </is>
      </c>
      <c r="G87" s="39" t="str"/>
      <c r="H87" s="158" t="n">
        <v>80</v>
      </c>
      <c r="I87" s="158" t="n">
        <v>80</v>
      </c>
      <c r="J87" s="158" t="n">
        <v>80</v>
      </c>
      <c r="K87" s="39" t="inlineStr">
        <is>
          <t>MERCK_TG</t>
        </is>
      </c>
      <c r="L87" s="159" t="n"/>
      <c r="M87" s="159" t="n"/>
      <c r="N87" s="159" t="n"/>
      <c r="O87" s="39" t="n"/>
      <c r="P87" s="159" t="n"/>
      <c r="Q87" s="159" t="n"/>
      <c r="R87" s="159" t="n"/>
      <c r="S87" s="39" t="n"/>
      <c r="T87" s="39" t="n">
        <v>1</v>
      </c>
      <c r="U87" s="39" t="inlineStr">
        <is>
          <t>C</t>
        </is>
      </c>
      <c r="V87" s="39" t="str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9" t="n">
        <v>84</v>
      </c>
      <c r="B88" s="39" t="inlineStr">
        <is>
          <t>Poly(phenyl methacrylate)</t>
        </is>
      </c>
      <c r="C88" s="39" t="inlineStr">
        <is>
          <t>PPhMA</t>
        </is>
      </c>
      <c r="D88" s="39" t="inlineStr">
        <is>
          <t>Methacrylic</t>
        </is>
      </c>
      <c r="E88" s="39" t="inlineStr">
        <is>
          <t>*CC(C)(C(=O)Oc1ccccc1)*</t>
        </is>
      </c>
      <c r="F88" s="39" t="inlineStr">
        <is>
          <t>PASS</t>
        </is>
      </c>
      <c r="G88" s="39" t="str"/>
      <c r="H88" s="158" t="n">
        <v>110</v>
      </c>
      <c r="I88" s="158" t="n">
        <v>110</v>
      </c>
      <c r="J88" s="158" t="n">
        <v>110</v>
      </c>
      <c r="K88" s="39" t="inlineStr">
        <is>
          <t>MERCK_TG</t>
        </is>
      </c>
      <c r="L88" s="159" t="n"/>
      <c r="M88" s="159" t="n"/>
      <c r="N88" s="159" t="n"/>
      <c r="O88" s="39" t="n"/>
      <c r="P88" s="159" t="n"/>
      <c r="Q88" s="159" t="n"/>
      <c r="R88" s="159" t="n"/>
      <c r="S88" s="39" t="n"/>
      <c r="T88" s="39" t="n">
        <v>1</v>
      </c>
      <c r="U88" s="39" t="inlineStr">
        <is>
          <t>C</t>
        </is>
      </c>
      <c r="V88" s="39" t="str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9" t="n">
        <v>85</v>
      </c>
      <c r="B89" s="39" t="inlineStr">
        <is>
          <t>Atactic polypropylene</t>
        </is>
      </c>
      <c r="C89" s="39" t="inlineStr">
        <is>
          <t>a-PP</t>
        </is>
      </c>
      <c r="D89" s="39" t="inlineStr">
        <is>
          <t>Polyolefin</t>
        </is>
      </c>
      <c r="E89" s="39" t="inlineStr">
        <is>
          <t>*CC(C)*</t>
        </is>
      </c>
      <c r="F89" s="39" t="inlineStr">
        <is>
          <t>PASS</t>
        </is>
      </c>
      <c r="G89" s="39" t="inlineStr">
        <is>
          <t>High</t>
        </is>
      </c>
      <c r="H89" s="158" t="n">
        <v>-13</v>
      </c>
      <c r="I89" s="158" t="n">
        <v>-13</v>
      </c>
      <c r="J89" s="158" t="n">
        <v>-13</v>
      </c>
      <c r="K89" s="39" t="inlineStr">
        <is>
          <t>MERCK_TG</t>
        </is>
      </c>
      <c r="L89" s="159" t="n">
        <v>0.905</v>
      </c>
      <c r="M89" s="159" t="n">
        <v>0.9</v>
      </c>
      <c r="N89" s="159" t="n">
        <v>0.91</v>
      </c>
      <c r="O89" s="39" t="inlineStr">
        <is>
          <t>PLASTICS_BOOK</t>
        </is>
      </c>
      <c r="P89" s="159" t="n"/>
      <c r="Q89" s="159" t="n">
        <v>0.12</v>
      </c>
      <c r="R89" s="159" t="n">
        <v>0.2</v>
      </c>
      <c r="S89" s="39" t="inlineStr">
        <is>
          <t>TC_ENG</t>
        </is>
      </c>
      <c r="T89" s="39" t="n">
        <v>3</v>
      </c>
      <c r="U89" s="39" t="inlineStr">
        <is>
          <t>A</t>
        </is>
      </c>
      <c r="V89" s="39" t="inlineStr">
        <is>
          <t>Tacticity is not explicit in plain 2D repeat SMILES.</t>
        </is>
      </c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9" t="n">
        <v>86</v>
      </c>
      <c r="B90" s="39" t="inlineStr">
        <is>
          <t>Isotactic polypropylene</t>
        </is>
      </c>
      <c r="C90" s="39" t="inlineStr">
        <is>
          <t>i-PP</t>
        </is>
      </c>
      <c r="D90" s="39" t="inlineStr">
        <is>
          <t>Polyolefin</t>
        </is>
      </c>
      <c r="E90" s="39" t="inlineStr">
        <is>
          <t>*CC(C)*</t>
        </is>
      </c>
      <c r="F90" s="39" t="inlineStr">
        <is>
          <t>PASS</t>
        </is>
      </c>
      <c r="G90" s="39" t="inlineStr">
        <is>
          <t>High</t>
        </is>
      </c>
      <c r="H90" s="158" t="n">
        <v>-8</v>
      </c>
      <c r="I90" s="158" t="n">
        <v>-8</v>
      </c>
      <c r="J90" s="158" t="n">
        <v>-8</v>
      </c>
      <c r="K90" s="39" t="inlineStr">
        <is>
          <t>MERCK_TG</t>
        </is>
      </c>
      <c r="L90" s="159" t="n">
        <v>0.905</v>
      </c>
      <c r="M90" s="159" t="n">
        <v>0.9</v>
      </c>
      <c r="N90" s="159" t="n">
        <v>0.91</v>
      </c>
      <c r="O90" s="39" t="inlineStr">
        <is>
          <t>PLASTICS_BOOK</t>
        </is>
      </c>
      <c r="P90" s="159" t="n"/>
      <c r="Q90" s="159" t="n">
        <v>0.12</v>
      </c>
      <c r="R90" s="159" t="n">
        <v>0.2</v>
      </c>
      <c r="S90" s="39" t="inlineStr">
        <is>
          <t>TC_ENG</t>
        </is>
      </c>
      <c r="T90" s="39" t="n">
        <v>3</v>
      </c>
      <c r="U90" s="39" t="inlineStr">
        <is>
          <t>A</t>
        </is>
      </c>
      <c r="V90" s="39" t="inlineStr">
        <is>
          <t>Tacticity is not explicit in plain 2D repeat SMILES.</t>
        </is>
      </c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9" t="n">
        <v>87</v>
      </c>
      <c r="B91" s="39" t="inlineStr">
        <is>
          <t>Polytetrafluoroethylene</t>
        </is>
      </c>
      <c r="C91" s="39" t="inlineStr">
        <is>
          <t>PTFE</t>
        </is>
      </c>
      <c r="D91" s="39" t="inlineStr">
        <is>
          <t>Fluoropolymer</t>
        </is>
      </c>
      <c r="E91" s="39" t="inlineStr">
        <is>
          <t>*C(F)(F)C(F)(F)*</t>
        </is>
      </c>
      <c r="F91" s="39" t="inlineStr">
        <is>
          <t>PASS</t>
        </is>
      </c>
      <c r="G91" s="39" t="str"/>
      <c r="H91" s="158" t="n">
        <v>-73</v>
      </c>
      <c r="I91" s="158" t="n">
        <v>-73</v>
      </c>
      <c r="J91" s="158" t="n">
        <v>-73</v>
      </c>
      <c r="K91" s="39" t="inlineStr">
        <is>
          <t>PLASTICS_BOOK</t>
        </is>
      </c>
      <c r="L91" s="159" t="n">
        <v>2.2</v>
      </c>
      <c r="M91" s="159" t="n">
        <v>2.14</v>
      </c>
      <c r="N91" s="159" t="n">
        <v>2.2</v>
      </c>
      <c r="O91" s="39" t="inlineStr">
        <is>
          <t>PLASTICS_BOOK</t>
        </is>
      </c>
      <c r="P91" s="159" t="n"/>
      <c r="Q91" s="159" t="n">
        <v>0.24</v>
      </c>
      <c r="R91" s="159" t="n">
        <v>0.27</v>
      </c>
      <c r="S91" s="39" t="inlineStr">
        <is>
          <t>TC_ENG</t>
        </is>
      </c>
      <c r="T91" s="39" t="n">
        <v>3</v>
      </c>
      <c r="U91" s="39" t="inlineStr">
        <is>
          <t>A</t>
        </is>
      </c>
      <c r="V91" s="39" t="inlineStr">
        <is>
          <t>PTFE has multiple relaxations/transitions; Tg assignment is source-dependent. Merck lists 117 C while the cited engineering text lists -73 C.</t>
        </is>
      </c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9" t="n">
        <v>88</v>
      </c>
      <c r="B92" s="39" t="inlineStr">
        <is>
          <t>Poly(tetrahydrofuran)</t>
        </is>
      </c>
      <c r="C92" s="39" t="inlineStr">
        <is>
          <t>PTHF</t>
        </is>
      </c>
      <c r="D92" s="39" t="inlineStr">
        <is>
          <t>Polyether</t>
        </is>
      </c>
      <c r="E92" s="39" t="inlineStr">
        <is>
          <t>*OCCCC*</t>
        </is>
      </c>
      <c r="F92" s="39" t="inlineStr">
        <is>
          <t>PASS</t>
        </is>
      </c>
      <c r="G92" s="39" t="str"/>
      <c r="H92" s="158" t="n">
        <v>-84</v>
      </c>
      <c r="I92" s="158" t="n">
        <v>-84</v>
      </c>
      <c r="J92" s="158" t="n">
        <v>-84</v>
      </c>
      <c r="K92" s="39" t="inlineStr">
        <is>
          <t>MERCK_TG</t>
        </is>
      </c>
      <c r="L92" s="159" t="n"/>
      <c r="M92" s="159" t="n"/>
      <c r="N92" s="159" t="n"/>
      <c r="O92" s="39" t="n"/>
      <c r="P92" s="159" t="n"/>
      <c r="Q92" s="159" t="n"/>
      <c r="R92" s="159" t="n"/>
      <c r="S92" s="39" t="n"/>
      <c r="T92" s="39" t="n">
        <v>1</v>
      </c>
      <c r="U92" s="39" t="inlineStr">
        <is>
          <t>C</t>
        </is>
      </c>
      <c r="V92" s="39" t="str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9" t="n">
        <v>89</v>
      </c>
      <c r="B93" s="39" t="inlineStr">
        <is>
          <t>Poly(butylene terephthalate)</t>
        </is>
      </c>
      <c r="C93" s="39" t="inlineStr">
        <is>
          <t>PBT</t>
        </is>
      </c>
      <c r="D93" s="39" t="inlineStr">
        <is>
          <t>Polyester</t>
        </is>
      </c>
      <c r="E93" s="39" t="inlineStr">
        <is>
          <t>*OCCCCOC(=O)c1ccc(C(=O)*)cc1</t>
        </is>
      </c>
      <c r="F93" s="39" t="inlineStr">
        <is>
          <t>PASS</t>
        </is>
      </c>
      <c r="G93" s="39" t="str"/>
      <c r="H93" s="158" t="n">
        <v>17</v>
      </c>
      <c r="I93" s="158" t="n">
        <v>17</v>
      </c>
      <c r="J93" s="158" t="n">
        <v>17</v>
      </c>
      <c r="K93" s="39" t="inlineStr">
        <is>
          <t>MERCK_TG</t>
        </is>
      </c>
      <c r="L93" s="159" t="n">
        <v>1.31</v>
      </c>
      <c r="M93" s="159" t="n">
        <v>1.31</v>
      </c>
      <c r="N93" s="159" t="n">
        <v>1.31</v>
      </c>
      <c r="O93" s="39" t="inlineStr">
        <is>
          <t>ENG_DENS</t>
        </is>
      </c>
      <c r="P93" s="159" t="n"/>
      <c r="Q93" s="159" t="n">
        <v>0.18</v>
      </c>
      <c r="R93" s="159" t="n">
        <v>0.29</v>
      </c>
      <c r="S93" s="39" t="inlineStr">
        <is>
          <t>TC_ENG</t>
        </is>
      </c>
      <c r="T93" s="39" t="n">
        <v>3</v>
      </c>
      <c r="U93" s="39" t="inlineStr">
        <is>
          <t>A</t>
        </is>
      </c>
      <c r="V93" s="39" t="str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9" t="n">
        <v>90</v>
      </c>
      <c r="B94" s="39" t="inlineStr">
        <is>
          <t>Poly(p-phenylene sulfide)</t>
        </is>
      </c>
      <c r="C94" s="39" t="inlineStr">
        <is>
          <t>PPS</t>
        </is>
      </c>
      <c r="D94" s="39" t="inlineStr">
        <is>
          <t>Aromatic sulfide</t>
        </is>
      </c>
      <c r="E94" s="39" t="inlineStr">
        <is>
          <t>*Sc1ccc(*)cc1</t>
        </is>
      </c>
      <c r="F94" s="39" t="inlineStr">
        <is>
          <t>PASS</t>
        </is>
      </c>
      <c r="G94" s="39" t="str"/>
      <c r="H94" s="158" t="n">
        <v>97</v>
      </c>
      <c r="I94" s="158" t="n">
        <v>97</v>
      </c>
      <c r="J94" s="158" t="n">
        <v>97</v>
      </c>
      <c r="K94" s="39" t="inlineStr">
        <is>
          <t>MERCK_TG</t>
        </is>
      </c>
      <c r="L94" s="159" t="n"/>
      <c r="M94" s="159" t="n"/>
      <c r="N94" s="159" t="n"/>
      <c r="O94" s="39" t="n"/>
      <c r="P94" s="159" t="n"/>
      <c r="Q94" s="159" t="n">
        <v>0.08</v>
      </c>
      <c r="R94" s="159" t="n">
        <v>0.29</v>
      </c>
      <c r="S94" s="39" t="inlineStr">
        <is>
          <t>TC_ENG</t>
        </is>
      </c>
      <c r="T94" s="39" t="n">
        <v>2</v>
      </c>
      <c r="U94" s="39" t="inlineStr">
        <is>
          <t>B</t>
        </is>
      </c>
      <c r="V94" s="39" t="str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9" t="n">
        <v>91</v>
      </c>
      <c r="B95" s="39" t="inlineStr">
        <is>
          <t>Poly(2,2,2-trifluoroethyl acrylate)</t>
        </is>
      </c>
      <c r="C95" s="39" t="inlineStr">
        <is>
          <t>PTFEA</t>
        </is>
      </c>
      <c r="D95" s="39" t="inlineStr">
        <is>
          <t>Acrylic</t>
        </is>
      </c>
      <c r="E95" s="39" t="inlineStr">
        <is>
          <t>*CC(C(=O)OCC(F)(F)F)*</t>
        </is>
      </c>
      <c r="F95" s="39" t="inlineStr">
        <is>
          <t>PASS</t>
        </is>
      </c>
      <c r="G95" s="39" t="str"/>
      <c r="H95" s="158" t="n">
        <v>-10</v>
      </c>
      <c r="I95" s="158" t="n">
        <v>-10</v>
      </c>
      <c r="J95" s="158" t="n">
        <v>-10</v>
      </c>
      <c r="K95" s="39" t="inlineStr">
        <is>
          <t>MERCK_TG</t>
        </is>
      </c>
      <c r="L95" s="159" t="n"/>
      <c r="M95" s="159" t="n"/>
      <c r="N95" s="159" t="n"/>
      <c r="O95" s="39" t="n"/>
      <c r="P95" s="159" t="n"/>
      <c r="Q95" s="159" t="n"/>
      <c r="R95" s="159" t="n"/>
      <c r="S95" s="39" t="n"/>
      <c r="T95" s="39" t="n">
        <v>1</v>
      </c>
      <c r="U95" s="39" t="inlineStr">
        <is>
          <t>C</t>
        </is>
      </c>
      <c r="V95" s="39" t="str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9" t="n">
        <v>92</v>
      </c>
      <c r="B96" s="39" t="inlineStr">
        <is>
          <t>Poly(2,4,6-trimethylstyrene)</t>
        </is>
      </c>
      <c r="C96" s="39" t="inlineStr">
        <is>
          <t>P2,4,6TMS</t>
        </is>
      </c>
      <c r="D96" s="39" t="inlineStr">
        <is>
          <t>Styrenic</t>
        </is>
      </c>
      <c r="E96" s="39" t="inlineStr">
        <is>
          <t>*CC(c1c(C)cc(C)cc1C)*</t>
        </is>
      </c>
      <c r="F96" s="39" t="inlineStr">
        <is>
          <t>PASS</t>
        </is>
      </c>
      <c r="G96" s="39" t="str"/>
      <c r="H96" s="158" t="n">
        <v>162</v>
      </c>
      <c r="I96" s="158" t="n">
        <v>162</v>
      </c>
      <c r="J96" s="158" t="n">
        <v>162</v>
      </c>
      <c r="K96" s="39" t="inlineStr">
        <is>
          <t>MERCK_TG</t>
        </is>
      </c>
      <c r="L96" s="159" t="n"/>
      <c r="M96" s="159" t="n"/>
      <c r="N96" s="159" t="n"/>
      <c r="O96" s="39" t="n"/>
      <c r="P96" s="159" t="n"/>
      <c r="Q96" s="159" t="n"/>
      <c r="R96" s="159" t="n"/>
      <c r="S96" s="39" t="n"/>
      <c r="T96" s="39" t="n">
        <v>1</v>
      </c>
      <c r="U96" s="39" t="inlineStr">
        <is>
          <t>C</t>
        </is>
      </c>
      <c r="V96" s="39" t="str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9" t="n">
        <v>93</v>
      </c>
      <c r="B97" s="39" t="inlineStr">
        <is>
          <t>Poly(vinyl acetate)</t>
        </is>
      </c>
      <c r="C97" s="39" t="inlineStr">
        <is>
          <t>PVAc</t>
        </is>
      </c>
      <c r="D97" s="39" t="inlineStr">
        <is>
          <t>Vinyl ester</t>
        </is>
      </c>
      <c r="E97" s="39" t="inlineStr">
        <is>
          <t>*CC(OC(=O)C)*</t>
        </is>
      </c>
      <c r="F97" s="39" t="inlineStr">
        <is>
          <t>PASS</t>
        </is>
      </c>
      <c r="G97" s="39" t="str"/>
      <c r="H97" s="158" t="n">
        <v>30</v>
      </c>
      <c r="I97" s="158" t="n">
        <v>30</v>
      </c>
      <c r="J97" s="158" t="n">
        <v>30</v>
      </c>
      <c r="K97" s="39" t="inlineStr">
        <is>
          <t>MERCK_TG</t>
        </is>
      </c>
      <c r="L97" s="159" t="n"/>
      <c r="M97" s="159" t="n"/>
      <c r="N97" s="159" t="n"/>
      <c r="O97" s="39" t="n"/>
      <c r="P97" s="159" t="n"/>
      <c r="Q97" s="159" t="n"/>
      <c r="R97" s="159" t="n"/>
      <c r="S97" s="39" t="n"/>
      <c r="T97" s="39" t="n">
        <v>1</v>
      </c>
      <c r="U97" s="39" t="inlineStr">
        <is>
          <t>C</t>
        </is>
      </c>
      <c r="V97" s="39" t="str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9" t="n">
        <v>94</v>
      </c>
      <c r="B98" s="39" t="inlineStr">
        <is>
          <t>Poly(vinyl alcohol)</t>
        </is>
      </c>
      <c r="C98" s="39" t="inlineStr">
        <is>
          <t>PVA</t>
        </is>
      </c>
      <c r="D98" s="39" t="inlineStr">
        <is>
          <t>Vinyl alcohol</t>
        </is>
      </c>
      <c r="E98" s="39" t="inlineStr">
        <is>
          <t>*CC(O)*</t>
        </is>
      </c>
      <c r="F98" s="39" t="inlineStr">
        <is>
          <t>PASS</t>
        </is>
      </c>
      <c r="G98" s="39" t="inlineStr">
        <is>
          <t>High</t>
        </is>
      </c>
      <c r="H98" s="158" t="n">
        <v>85</v>
      </c>
      <c r="I98" s="158" t="n">
        <v>85</v>
      </c>
      <c r="J98" s="158" t="n">
        <v>85</v>
      </c>
      <c r="K98" s="39" t="inlineStr">
        <is>
          <t>MERCK_TG</t>
        </is>
      </c>
      <c r="L98" s="159" t="n"/>
      <c r="M98" s="159" t="n"/>
      <c r="N98" s="159" t="n"/>
      <c r="O98" s="39" t="n"/>
      <c r="P98" s="159" t="n">
        <v>0.31</v>
      </c>
      <c r="Q98" s="159" t="n">
        <v>0.31</v>
      </c>
      <c r="R98" s="159" t="n">
        <v>0.31</v>
      </c>
      <c r="S98" s="39" t="inlineStr">
        <is>
          <t>TC_REVIEW</t>
        </is>
      </c>
      <c r="T98" s="39" t="n">
        <v>2</v>
      </c>
      <c r="U98" s="39" t="inlineStr">
        <is>
          <t>B</t>
        </is>
      </c>
      <c r="V98" s="39" t="str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9" t="n">
        <v>95</v>
      </c>
      <c r="B99" s="39" t="inlineStr">
        <is>
          <t>Poly(vinyl benzoate)</t>
        </is>
      </c>
      <c r="C99" s="39" t="inlineStr">
        <is>
          <t>PVBz</t>
        </is>
      </c>
      <c r="D99" s="39" t="inlineStr">
        <is>
          <t>Vinyl ester</t>
        </is>
      </c>
      <c r="E99" s="39" t="inlineStr">
        <is>
          <t>*CC(OC(=O)c1ccccc1)*</t>
        </is>
      </c>
      <c r="F99" s="39" t="inlineStr">
        <is>
          <t>PASS</t>
        </is>
      </c>
      <c r="G99" s="39" t="str"/>
      <c r="H99" s="158" t="n">
        <v>71</v>
      </c>
      <c r="I99" s="158" t="n">
        <v>71</v>
      </c>
      <c r="J99" s="158" t="n">
        <v>71</v>
      </c>
      <c r="K99" s="39" t="inlineStr">
        <is>
          <t>MERCK_TG</t>
        </is>
      </c>
      <c r="L99" s="159" t="n"/>
      <c r="M99" s="159" t="n"/>
      <c r="N99" s="159" t="n"/>
      <c r="O99" s="39" t="n"/>
      <c r="P99" s="159" t="n"/>
      <c r="Q99" s="159" t="n"/>
      <c r="R99" s="159" t="n"/>
      <c r="S99" s="39" t="n"/>
      <c r="T99" s="39" t="n">
        <v>1</v>
      </c>
      <c r="U99" s="39" t="inlineStr">
        <is>
          <t>C</t>
        </is>
      </c>
      <c r="V99" s="39" t="str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9" t="n">
        <v>96</v>
      </c>
      <c r="B100" s="39" t="inlineStr">
        <is>
          <t>Poly(N-vinylcarbazole)</t>
        </is>
      </c>
      <c r="C100" s="39" t="inlineStr">
        <is>
          <t>PVK</t>
        </is>
      </c>
      <c r="D100" s="39" t="inlineStr">
        <is>
          <t>Aromatic vinyl</t>
        </is>
      </c>
      <c r="E100" s="39" t="inlineStr">
        <is>
          <t>*CC(n1c2ccccc2c2ccccc21)*</t>
        </is>
      </c>
      <c r="F100" s="39" t="inlineStr">
        <is>
          <t>PASS</t>
        </is>
      </c>
      <c r="G100" s="39" t="str"/>
      <c r="H100" s="158" t="n">
        <v>227</v>
      </c>
      <c r="I100" s="158" t="n">
        <v>227</v>
      </c>
      <c r="J100" s="158" t="n">
        <v>227</v>
      </c>
      <c r="K100" s="39" t="inlineStr">
        <is>
          <t>MERCK_TG</t>
        </is>
      </c>
      <c r="L100" s="159" t="n"/>
      <c r="M100" s="159" t="n"/>
      <c r="N100" s="159" t="n"/>
      <c r="O100" s="39" t="n"/>
      <c r="P100" s="159" t="n"/>
      <c r="Q100" s="159" t="n"/>
      <c r="R100" s="159" t="n"/>
      <c r="S100" s="39" t="n"/>
      <c r="T100" s="39" t="n">
        <v>1</v>
      </c>
      <c r="U100" s="39" t="inlineStr">
        <is>
          <t>C</t>
        </is>
      </c>
      <c r="V100" s="39" t="str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9" t="n">
        <v>97</v>
      </c>
      <c r="B101" s="39" t="inlineStr">
        <is>
          <t>Poly(vinyl chloride)</t>
        </is>
      </c>
      <c r="C101" s="39" t="inlineStr">
        <is>
          <t>PVC</t>
        </is>
      </c>
      <c r="D101" s="39" t="inlineStr">
        <is>
          <t>Halogenated vinyl</t>
        </is>
      </c>
      <c r="E101" s="39" t="inlineStr">
        <is>
          <t>*CC(Cl)*</t>
        </is>
      </c>
      <c r="F101" s="39" t="inlineStr">
        <is>
          <t>PASS</t>
        </is>
      </c>
      <c r="G101" s="39" t="inlineStr">
        <is>
          <t>High</t>
        </is>
      </c>
      <c r="H101" s="158" t="n">
        <v>80</v>
      </c>
      <c r="I101" s="158" t="n">
        <v>80</v>
      </c>
      <c r="J101" s="158" t="n">
        <v>80</v>
      </c>
      <c r="K101" s="39" t="inlineStr">
        <is>
          <t>PLASTICS_BOOK</t>
        </is>
      </c>
      <c r="L101" s="159" t="n">
        <v>1.41</v>
      </c>
      <c r="M101" s="159" t="n">
        <v>1.41</v>
      </c>
      <c r="N101" s="159" t="n">
        <v>1.41</v>
      </c>
      <c r="O101" s="39" t="inlineStr">
        <is>
          <t>PLASTICS_BOOK</t>
        </is>
      </c>
      <c r="P101" s="159" t="n"/>
      <c r="Q101" s="159" t="n">
        <v>0.15</v>
      </c>
      <c r="R101" s="159" t="n">
        <v>0.21</v>
      </c>
      <c r="S101" s="39" t="inlineStr">
        <is>
          <t>TC_ENG</t>
        </is>
      </c>
      <c r="T101" s="39" t="n">
        <v>3</v>
      </c>
      <c r="U101" s="39" t="inlineStr">
        <is>
          <t>A</t>
        </is>
      </c>
      <c r="V101" s="39" t="str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9" t="n">
        <v>98</v>
      </c>
      <c r="B102" s="39" t="inlineStr">
        <is>
          <t>Poly(vinyl fluoride)</t>
        </is>
      </c>
      <c r="C102" s="39" t="inlineStr">
        <is>
          <t>PVF</t>
        </is>
      </c>
      <c r="D102" s="39" t="inlineStr">
        <is>
          <t>Fluoropolymer</t>
        </is>
      </c>
      <c r="E102" s="39" t="inlineStr">
        <is>
          <t>*CC(F)*</t>
        </is>
      </c>
      <c r="F102" s="39" t="inlineStr">
        <is>
          <t>PASS</t>
        </is>
      </c>
      <c r="G102" s="39" t="str"/>
      <c r="H102" s="158" t="n">
        <v>41</v>
      </c>
      <c r="I102" s="158" t="n">
        <v>41</v>
      </c>
      <c r="J102" s="158" t="n">
        <v>41</v>
      </c>
      <c r="K102" s="39" t="inlineStr">
        <is>
          <t>MERCK_TG</t>
        </is>
      </c>
      <c r="L102" s="159" t="n"/>
      <c r="M102" s="159" t="n"/>
      <c r="N102" s="159" t="n"/>
      <c r="O102" s="39" t="n"/>
      <c r="P102" s="159" t="n"/>
      <c r="Q102" s="159" t="n"/>
      <c r="R102" s="159" t="n"/>
      <c r="S102" s="39" t="n"/>
      <c r="T102" s="39" t="n">
        <v>1</v>
      </c>
      <c r="U102" s="39" t="inlineStr">
        <is>
          <t>C</t>
        </is>
      </c>
      <c r="V102" s="39" t="str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9" t="n">
        <v>99</v>
      </c>
      <c r="B103" s="39" t="inlineStr">
        <is>
          <t>Poly(vinylidene chloride)</t>
        </is>
      </c>
      <c r="C103" s="39" t="inlineStr">
        <is>
          <t>PVDC</t>
        </is>
      </c>
      <c r="D103" s="39" t="inlineStr">
        <is>
          <t>Halogenated vinyl</t>
        </is>
      </c>
      <c r="E103" s="39" t="inlineStr">
        <is>
          <t>*CC(Cl)(Cl)*</t>
        </is>
      </c>
      <c r="F103" s="39" t="inlineStr">
        <is>
          <t>PASS</t>
        </is>
      </c>
      <c r="G103" s="39" t="str"/>
      <c r="H103" s="158" t="n">
        <v>-18</v>
      </c>
      <c r="I103" s="158" t="n">
        <v>-18</v>
      </c>
      <c r="J103" s="158" t="n">
        <v>-18</v>
      </c>
      <c r="K103" s="39" t="inlineStr">
        <is>
          <t>PLASTICS_BOOK</t>
        </is>
      </c>
      <c r="L103" s="159" t="n">
        <v>1.75</v>
      </c>
      <c r="M103" s="159" t="n">
        <v>1.75</v>
      </c>
      <c r="N103" s="159" t="n">
        <v>1.75</v>
      </c>
      <c r="O103" s="39" t="inlineStr">
        <is>
          <t>PLASTICS_BOOK</t>
        </is>
      </c>
      <c r="P103" s="159" t="n"/>
      <c r="Q103" s="159" t="n"/>
      <c r="R103" s="159" t="n"/>
      <c r="S103" s="39" t="n"/>
      <c r="T103" s="39" t="n">
        <v>2</v>
      </c>
      <c r="U103" s="39" t="inlineStr">
        <is>
          <t>B</t>
        </is>
      </c>
      <c r="V103" s="39" t="str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9" t="n">
        <v>100</v>
      </c>
      <c r="B104" s="39" t="inlineStr">
        <is>
          <t>Poly(vinylidene fluoride)</t>
        </is>
      </c>
      <c r="C104" s="39" t="inlineStr">
        <is>
          <t>PVDF</t>
        </is>
      </c>
      <c r="D104" s="39" t="inlineStr">
        <is>
          <t>Fluoropolymer</t>
        </is>
      </c>
      <c r="E104" s="39" t="inlineStr">
        <is>
          <t>*CC(F)(F)*</t>
        </is>
      </c>
      <c r="F104" s="39" t="inlineStr">
        <is>
          <t>PASS</t>
        </is>
      </c>
      <c r="G104" s="39" t="str"/>
      <c r="H104" s="158" t="n">
        <v>-40</v>
      </c>
      <c r="I104" s="158" t="n">
        <v>-40</v>
      </c>
      <c r="J104" s="158" t="n">
        <v>-40</v>
      </c>
      <c r="K104" s="39" t="inlineStr">
        <is>
          <t>MERCK_TG</t>
        </is>
      </c>
      <c r="L104" s="159" t="n">
        <v>1.78</v>
      </c>
      <c r="M104" s="159" t="n">
        <v>1.76</v>
      </c>
      <c r="N104" s="159" t="n">
        <v>1.78</v>
      </c>
      <c r="O104" s="39" t="inlineStr">
        <is>
          <t>TC_ENG</t>
        </is>
      </c>
      <c r="P104" s="159" t="n"/>
      <c r="Q104" s="159" t="n">
        <v>0.1</v>
      </c>
      <c r="R104" s="159" t="n">
        <v>0.13</v>
      </c>
      <c r="S104" s="39" t="inlineStr">
        <is>
          <t>TC_ENG</t>
        </is>
      </c>
      <c r="T104" s="39" t="n">
        <v>3</v>
      </c>
      <c r="U104" s="39" t="inlineStr">
        <is>
          <t>A</t>
        </is>
      </c>
      <c r="V104" s="39" t="str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9" t="n">
        <v>101</v>
      </c>
      <c r="B105" s="39" t="inlineStr">
        <is>
          <t>Poly(2-vinylnaphthalene)</t>
        </is>
      </c>
      <c r="C105" s="39" t="inlineStr">
        <is>
          <t>P2VN</t>
        </is>
      </c>
      <c r="D105" s="39" t="inlineStr">
        <is>
          <t>Aromatic vinyl</t>
        </is>
      </c>
      <c r="E105" s="39" t="inlineStr">
        <is>
          <t>*CC(c1ccc2ccccc2c1)*</t>
        </is>
      </c>
      <c r="F105" s="39" t="inlineStr">
        <is>
          <t>PASS</t>
        </is>
      </c>
      <c r="G105" s="39" t="str"/>
      <c r="H105" s="158" t="n">
        <v>151</v>
      </c>
      <c r="I105" s="158" t="n">
        <v>151</v>
      </c>
      <c r="J105" s="158" t="n">
        <v>151</v>
      </c>
      <c r="K105" s="39" t="inlineStr">
        <is>
          <t>MERCK_TG</t>
        </is>
      </c>
      <c r="L105" s="159" t="n"/>
      <c r="M105" s="159" t="n"/>
      <c r="N105" s="159" t="n"/>
      <c r="O105" s="39" t="n"/>
      <c r="P105" s="159" t="n"/>
      <c r="Q105" s="159" t="n"/>
      <c r="R105" s="159" t="n"/>
      <c r="S105" s="39" t="n"/>
      <c r="T105" s="39" t="n">
        <v>1</v>
      </c>
      <c r="U105" s="39" t="inlineStr">
        <is>
          <t>C</t>
        </is>
      </c>
      <c r="V105" s="39" t="str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9" t="n">
        <v>102</v>
      </c>
      <c r="B106" s="39" t="inlineStr">
        <is>
          <t>Poly(2-vinylpyridine)</t>
        </is>
      </c>
      <c r="C106" s="39" t="inlineStr">
        <is>
          <t>P2VP</t>
        </is>
      </c>
      <c r="D106" s="39" t="inlineStr">
        <is>
          <t>Heteroaromatic vinyl</t>
        </is>
      </c>
      <c r="E106" s="39" t="inlineStr">
        <is>
          <t>*CC(c1ccccn1)*</t>
        </is>
      </c>
      <c r="F106" s="39" t="inlineStr">
        <is>
          <t>PASS</t>
        </is>
      </c>
      <c r="G106" s="39" t="str"/>
      <c r="H106" s="158" t="n">
        <v>104</v>
      </c>
      <c r="I106" s="158" t="n">
        <v>104</v>
      </c>
      <c r="J106" s="158" t="n">
        <v>104</v>
      </c>
      <c r="K106" s="39" t="inlineStr">
        <is>
          <t>MERCK_TG</t>
        </is>
      </c>
      <c r="L106" s="159" t="n"/>
      <c r="M106" s="159" t="n"/>
      <c r="N106" s="159" t="n"/>
      <c r="O106" s="39" t="n"/>
      <c r="P106" s="159" t="n"/>
      <c r="Q106" s="159" t="n"/>
      <c r="R106" s="159" t="n"/>
      <c r="S106" s="39" t="n"/>
      <c r="T106" s="39" t="n">
        <v>1</v>
      </c>
      <c r="U106" s="39" t="inlineStr">
        <is>
          <t>C</t>
        </is>
      </c>
      <c r="V106" s="39" t="str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9" t="n">
        <v>103</v>
      </c>
      <c r="B107" s="39" t="inlineStr">
        <is>
          <t>Poly(4-vinylpyridine)</t>
        </is>
      </c>
      <c r="C107" s="39" t="inlineStr">
        <is>
          <t>P4VP</t>
        </is>
      </c>
      <c r="D107" s="39" t="inlineStr">
        <is>
          <t>Heteroaromatic vinyl</t>
        </is>
      </c>
      <c r="E107" s="39" t="inlineStr">
        <is>
          <t>*CC(c1ccncc1)*</t>
        </is>
      </c>
      <c r="F107" s="39" t="inlineStr">
        <is>
          <t>PASS</t>
        </is>
      </c>
      <c r="G107" s="39" t="str"/>
      <c r="H107" s="158" t="n">
        <v>142</v>
      </c>
      <c r="I107" s="158" t="n">
        <v>142</v>
      </c>
      <c r="J107" s="158" t="n">
        <v>142</v>
      </c>
      <c r="K107" s="39" t="inlineStr">
        <is>
          <t>MERCK_TG</t>
        </is>
      </c>
      <c r="L107" s="159" t="n"/>
      <c r="M107" s="159" t="n"/>
      <c r="N107" s="159" t="n"/>
      <c r="O107" s="39" t="n"/>
      <c r="P107" s="159" t="n"/>
      <c r="Q107" s="159" t="n"/>
      <c r="R107" s="159" t="n"/>
      <c r="S107" s="39" t="n"/>
      <c r="T107" s="39" t="n">
        <v>1</v>
      </c>
      <c r="U107" s="39" t="inlineStr">
        <is>
          <t>C</t>
        </is>
      </c>
      <c r="V107" s="39" t="str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9" t="n">
        <v>104</v>
      </c>
      <c r="B108" s="39" t="inlineStr">
        <is>
          <t>Poly(N-vinyl-2-pyrrolidone)</t>
        </is>
      </c>
      <c r="C108" s="39" t="inlineStr">
        <is>
          <t>PVP</t>
        </is>
      </c>
      <c r="D108" s="39" t="inlineStr">
        <is>
          <t>Lactam vinyl</t>
        </is>
      </c>
      <c r="E108" s="39" t="inlineStr">
        <is>
          <t>*CC(N1CCCC(=O)1)*</t>
        </is>
      </c>
      <c r="F108" s="39" t="inlineStr">
        <is>
          <t>PASS</t>
        </is>
      </c>
      <c r="G108" s="39" t="str"/>
      <c r="H108" s="158" t="n">
        <v>54</v>
      </c>
      <c r="I108" s="158" t="n">
        <v>54</v>
      </c>
      <c r="J108" s="158" t="n">
        <v>54</v>
      </c>
      <c r="K108" s="39" t="inlineStr">
        <is>
          <t>MERCK_TG</t>
        </is>
      </c>
      <c r="L108" s="159" t="n"/>
      <c r="M108" s="159" t="n"/>
      <c r="N108" s="159" t="n"/>
      <c r="O108" s="39" t="n"/>
      <c r="P108" s="159" t="n"/>
      <c r="Q108" s="159" t="n"/>
      <c r="R108" s="159" t="n"/>
      <c r="S108" s="39" t="n"/>
      <c r="T108" s="39" t="n">
        <v>1</v>
      </c>
      <c r="U108" s="39" t="inlineStr">
        <is>
          <t>C</t>
        </is>
      </c>
      <c r="V108" s="39" t="str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9" t="n">
        <v>105</v>
      </c>
      <c r="B109" s="39" t="inlineStr">
        <is>
          <t>High-cis 1,4-polybutadiene / BR</t>
        </is>
      </c>
      <c r="C109" s="39" t="inlineStr">
        <is>
          <t>PB/BR</t>
        </is>
      </c>
      <c r="D109" s="39" t="inlineStr">
        <is>
          <t>Diene rubber</t>
        </is>
      </c>
      <c r="E109" s="39" t="inlineStr">
        <is>
          <t>*CC=CC*</t>
        </is>
      </c>
      <c r="F109" s="39" t="inlineStr">
        <is>
          <t>PASS</t>
        </is>
      </c>
      <c r="G109" s="39" t="inlineStr">
        <is>
          <t>High</t>
        </is>
      </c>
      <c r="H109" s="158" t="n">
        <v>-107</v>
      </c>
      <c r="I109" s="158" t="n">
        <v>-107</v>
      </c>
      <c r="J109" s="158" t="n">
        <v>-107</v>
      </c>
      <c r="K109" s="39" t="inlineStr">
        <is>
          <t>RUBBER_PALS</t>
        </is>
      </c>
      <c r="L109" s="159" t="n">
        <v>0.93</v>
      </c>
      <c r="M109" s="159" t="n">
        <v>0.93</v>
      </c>
      <c r="N109" s="159" t="n">
        <v>0.93</v>
      </c>
      <c r="O109" s="39" t="inlineStr">
        <is>
          <t>RUBBER_PALS</t>
        </is>
      </c>
      <c r="P109" s="159" t="n">
        <v>0.174</v>
      </c>
      <c r="Q109" s="159" t="n">
        <v>0.174</v>
      </c>
      <c r="R109" s="159" t="n">
        <v>0.19</v>
      </c>
      <c r="S109" s="39" t="inlineStr">
        <is>
          <t>RUBBER_TC</t>
        </is>
      </c>
      <c r="T109" s="39" t="n">
        <v>3</v>
      </c>
      <c r="U109" s="39" t="inlineStr">
        <is>
          <t>A</t>
        </is>
      </c>
      <c r="V109" s="39" t="inlineStr">
        <is>
          <t>Tg/density from cured high-cis PB; Tc from untreated PB. Strong tire relevance.</t>
        </is>
      </c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9" t="n">
        <v>106</v>
      </c>
      <c r="B110" s="39" t="inlineStr">
        <is>
          <t>Poly(propylene oxide)</t>
        </is>
      </c>
      <c r="C110" s="39" t="inlineStr">
        <is>
          <t>PPOx</t>
        </is>
      </c>
      <c r="D110" s="39" t="inlineStr">
        <is>
          <t>Polyether</t>
        </is>
      </c>
      <c r="E110" s="39" t="inlineStr">
        <is>
          <t>*OCC(C)*</t>
        </is>
      </c>
      <c r="F110" s="39" t="inlineStr">
        <is>
          <t>PASS</t>
        </is>
      </c>
      <c r="G110" s="39" t="str"/>
      <c r="H110" s="158" t="n">
        <v>-75</v>
      </c>
      <c r="I110" s="158" t="n">
        <v>-75</v>
      </c>
      <c r="J110" s="158" t="n">
        <v>-75</v>
      </c>
      <c r="K110" s="39" t="inlineStr">
        <is>
          <t>MERCK_TG</t>
        </is>
      </c>
      <c r="L110" s="159" t="n"/>
      <c r="M110" s="159" t="n"/>
      <c r="N110" s="159" t="n"/>
      <c r="O110" s="39" t="n"/>
      <c r="P110" s="159" t="n"/>
      <c r="Q110" s="159" t="n"/>
      <c r="R110" s="159" t="n"/>
      <c r="S110" s="39" t="n"/>
      <c r="T110" s="39" t="n">
        <v>1</v>
      </c>
      <c r="U110" s="39" t="inlineStr">
        <is>
          <t>C</t>
        </is>
      </c>
      <c r="V110" s="39" t="str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9" t="n">
        <v>107</v>
      </c>
      <c r="B111" s="39" t="inlineStr">
        <is>
          <t>Polyoxymethylene</t>
        </is>
      </c>
      <c r="C111" s="39" t="inlineStr">
        <is>
          <t>POM</t>
        </is>
      </c>
      <c r="D111" s="39" t="inlineStr">
        <is>
          <t>Polyacetal</t>
        </is>
      </c>
      <c r="E111" s="39" t="inlineStr">
        <is>
          <t>*CO*</t>
        </is>
      </c>
      <c r="F111" s="39" t="inlineStr">
        <is>
          <t>PASS</t>
        </is>
      </c>
      <c r="G111" s="39" t="str"/>
      <c r="H111" s="158" t="n">
        <v>-85</v>
      </c>
      <c r="I111" s="158" t="n">
        <v>-85</v>
      </c>
      <c r="J111" s="158" t="n">
        <v>-85</v>
      </c>
      <c r="K111" s="39" t="inlineStr">
        <is>
          <t>PLASTICS_BOOK</t>
        </is>
      </c>
      <c r="L111" s="159" t="n">
        <v>1.41</v>
      </c>
      <c r="M111" s="159" t="n">
        <v>1.41</v>
      </c>
      <c r="N111" s="159" t="n">
        <v>1.42</v>
      </c>
      <c r="O111" s="39" t="inlineStr">
        <is>
          <t>PLASTICS_BOOK</t>
        </is>
      </c>
      <c r="P111" s="159" t="n"/>
      <c r="Q111" s="159" t="n">
        <v>0.23</v>
      </c>
      <c r="R111" s="159" t="n">
        <v>0.3</v>
      </c>
      <c r="S111" s="39" t="inlineStr">
        <is>
          <t>TC_ENG</t>
        </is>
      </c>
      <c r="T111" s="39" t="n">
        <v>3</v>
      </c>
      <c r="U111" s="39" t="inlineStr">
        <is>
          <t>A</t>
        </is>
      </c>
      <c r="V111" s="39" t="str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9" t="n">
        <v>108</v>
      </c>
      <c r="B112" s="39" t="inlineStr">
        <is>
          <t>Polylactic acid</t>
        </is>
      </c>
      <c r="C112" s="39" t="inlineStr">
        <is>
          <t>PLA</t>
        </is>
      </c>
      <c r="D112" s="39" t="inlineStr">
        <is>
          <t>Polyester</t>
        </is>
      </c>
      <c r="E112" s="39" t="inlineStr">
        <is>
          <t>*OC(C)C(=O)*</t>
        </is>
      </c>
      <c r="F112" s="39" t="inlineStr">
        <is>
          <t>PASS</t>
        </is>
      </c>
      <c r="G112" s="39" t="str"/>
      <c r="H112" s="158" t="n">
        <v>61.85</v>
      </c>
      <c r="I112" s="158" t="n">
        <v>61.85</v>
      </c>
      <c r="J112" s="158" t="n">
        <v>61.85</v>
      </c>
      <c r="K112" s="39" t="inlineStr">
        <is>
          <t>MERCK_TG</t>
        </is>
      </c>
      <c r="L112" s="159" t="n"/>
      <c r="M112" s="159" t="n"/>
      <c r="N112" s="159" t="n"/>
      <c r="O112" s="39" t="n"/>
      <c r="P112" s="159" t="n"/>
      <c r="Q112" s="159" t="n">
        <v>0.064</v>
      </c>
      <c r="R112" s="159" t="n">
        <v>0.09</v>
      </c>
      <c r="S112" s="39" t="inlineStr">
        <is>
          <t>TC_REVIEW</t>
        </is>
      </c>
      <c r="T112" s="39" t="n">
        <v>2</v>
      </c>
      <c r="U112" s="39" t="inlineStr">
        <is>
          <t>B</t>
        </is>
      </c>
      <c r="V112" s="39" t="inlineStr">
        <is>
          <t>Tc literature range in 2024 review.</t>
        </is>
      </c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9" t="n">
        <v>109</v>
      </c>
      <c r="B113" s="39" t="inlineStr">
        <is>
          <t>Polyglycolic acid</t>
        </is>
      </c>
      <c r="C113" s="39" t="inlineStr">
        <is>
          <t>PGA</t>
        </is>
      </c>
      <c r="D113" s="39" t="inlineStr">
        <is>
          <t>Polyester</t>
        </is>
      </c>
      <c r="E113" s="39" t="inlineStr">
        <is>
          <t>*OCC(=O)*</t>
        </is>
      </c>
      <c r="F113" s="39" t="inlineStr">
        <is>
          <t>PASS</t>
        </is>
      </c>
      <c r="G113" s="39" t="str"/>
      <c r="H113" s="158" t="n"/>
      <c r="I113" s="158" t="n"/>
      <c r="J113" s="158" t="n"/>
      <c r="K113" s="39" t="inlineStr">
        <is>
          <t>MERCK_TG</t>
        </is>
      </c>
      <c r="L113" s="159" t="n"/>
      <c r="M113" s="159" t="n"/>
      <c r="N113" s="159" t="n"/>
      <c r="O113" s="39" t="n"/>
      <c r="P113" s="159" t="n"/>
      <c r="Q113" s="159" t="n"/>
      <c r="R113" s="159" t="n"/>
      <c r="S113" s="39" t="n"/>
      <c r="T113" s="39" t="n">
        <v>0</v>
      </c>
      <c r="U113" s="39" t="inlineStr">
        <is>
          <t>C</t>
        </is>
      </c>
      <c r="V113" s="39" t="str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9" t="n">
        <v>110</v>
      </c>
      <c r="B114" s="39" t="inlineStr">
        <is>
          <t>Poly(ethylene adipate)</t>
        </is>
      </c>
      <c r="C114" s="39" t="inlineStr">
        <is>
          <t>PEA-adipate</t>
        </is>
      </c>
      <c r="D114" s="39" t="inlineStr">
        <is>
          <t>Polyester</t>
        </is>
      </c>
      <c r="E114" s="39" t="inlineStr">
        <is>
          <t>*OCCOC(=O)CCCC(=O)*</t>
        </is>
      </c>
      <c r="F114" s="39" t="inlineStr">
        <is>
          <t>PASS</t>
        </is>
      </c>
      <c r="G114" s="39" t="str"/>
      <c r="H114" s="158" t="n"/>
      <c r="I114" s="158" t="n"/>
      <c r="J114" s="158" t="n"/>
      <c r="K114" s="39" t="inlineStr">
        <is>
          <t>MERCK_TG</t>
        </is>
      </c>
      <c r="L114" s="159" t="n"/>
      <c r="M114" s="159" t="n"/>
      <c r="N114" s="159" t="n"/>
      <c r="O114" s="39" t="n"/>
      <c r="P114" s="159" t="n"/>
      <c r="Q114" s="159" t="n"/>
      <c r="R114" s="159" t="n"/>
      <c r="S114" s="39" t="n"/>
      <c r="T114" s="39" t="n">
        <v>0</v>
      </c>
      <c r="U114" s="39" t="inlineStr">
        <is>
          <t>C</t>
        </is>
      </c>
      <c r="V114" s="39" t="str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9" t="n">
        <v>111</v>
      </c>
      <c r="B115" s="39" t="inlineStr">
        <is>
          <t>Polyacetylene</t>
        </is>
      </c>
      <c r="C115" s="39" t="inlineStr">
        <is>
          <t>PAc</t>
        </is>
      </c>
      <c r="D115" s="39" t="inlineStr">
        <is>
          <t>Conjugated</t>
        </is>
      </c>
      <c r="E115" s="39" t="inlineStr">
        <is>
          <t>*C=C*</t>
        </is>
      </c>
      <c r="F115" s="39" t="inlineStr">
        <is>
          <t>PASS</t>
        </is>
      </c>
      <c r="G115" s="39" t="str"/>
      <c r="H115" s="158" t="n"/>
      <c r="I115" s="158" t="n"/>
      <c r="J115" s="158" t="n"/>
      <c r="K115" s="39" t="inlineStr">
        <is>
          <t>MERCK_TG</t>
        </is>
      </c>
      <c r="L115" s="159" t="n"/>
      <c r="M115" s="159" t="n"/>
      <c r="N115" s="159" t="n"/>
      <c r="O115" s="39" t="n"/>
      <c r="P115" s="159" t="n"/>
      <c r="Q115" s="159" t="n"/>
      <c r="R115" s="159" t="n"/>
      <c r="S115" s="39" t="n"/>
      <c r="T115" s="39" t="n">
        <v>0</v>
      </c>
      <c r="U115" s="39" t="inlineStr">
        <is>
          <t>C</t>
        </is>
      </c>
      <c r="V115" s="39" t="str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9" t="n">
        <v>112</v>
      </c>
      <c r="B116" s="39" t="inlineStr">
        <is>
          <t>Parylene N</t>
        </is>
      </c>
      <c r="C116" s="39" t="inlineStr">
        <is>
          <t>Parylene-N</t>
        </is>
      </c>
      <c r="D116" s="39" t="inlineStr">
        <is>
          <t>Poly(p-xylylene)</t>
        </is>
      </c>
      <c r="E116" s="39" t="inlineStr">
        <is>
          <t>*Cc1ccc(C*)cc1</t>
        </is>
      </c>
      <c r="F116" s="39" t="inlineStr">
        <is>
          <t>PASS</t>
        </is>
      </c>
      <c r="G116" s="39" t="str"/>
      <c r="H116" s="158" t="n"/>
      <c r="I116" s="158" t="n"/>
      <c r="J116" s="158" t="n"/>
      <c r="K116" s="39" t="inlineStr">
        <is>
          <t>MERCK_TG</t>
        </is>
      </c>
      <c r="L116" s="159" t="n"/>
      <c r="M116" s="159" t="n"/>
      <c r="N116" s="159" t="n"/>
      <c r="O116" s="39" t="n"/>
      <c r="P116" s="159" t="n"/>
      <c r="Q116" s="159" t="n"/>
      <c r="R116" s="159" t="n"/>
      <c r="S116" s="39" t="n"/>
      <c r="T116" s="39" t="n">
        <v>0</v>
      </c>
      <c r="U116" s="39" t="inlineStr">
        <is>
          <t>C</t>
        </is>
      </c>
      <c r="V116" s="39" t="str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9" t="n">
        <v>113</v>
      </c>
      <c r="B117" s="39" t="inlineStr">
        <is>
          <t>Parylene C</t>
        </is>
      </c>
      <c r="C117" s="39" t="inlineStr">
        <is>
          <t>Parylene-C</t>
        </is>
      </c>
      <c r="D117" s="39" t="inlineStr">
        <is>
          <t>Halogenated poly(p-xylylene)</t>
        </is>
      </c>
      <c r="E117" s="39" t="inlineStr">
        <is>
          <t>*Cc1cc(Cl)c(C*)cc1</t>
        </is>
      </c>
      <c r="F117" s="39" t="inlineStr">
        <is>
          <t>PASS</t>
        </is>
      </c>
      <c r="G117" s="39" t="str"/>
      <c r="H117" s="158" t="n"/>
      <c r="I117" s="158" t="n"/>
      <c r="J117" s="158" t="n"/>
      <c r="K117" s="39" t="inlineStr">
        <is>
          <t>MERCK_TG</t>
        </is>
      </c>
      <c r="L117" s="159" t="n"/>
      <c r="M117" s="159" t="n"/>
      <c r="N117" s="159" t="n"/>
      <c r="O117" s="39" t="n"/>
      <c r="P117" s="159" t="n"/>
      <c r="Q117" s="159" t="n"/>
      <c r="R117" s="159" t="n"/>
      <c r="S117" s="39" t="n"/>
      <c r="T117" s="39" t="n">
        <v>0</v>
      </c>
      <c r="U117" s="39" t="inlineStr">
        <is>
          <t>C</t>
        </is>
      </c>
      <c r="V117" s="39" t="str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9" t="n">
        <v>114</v>
      </c>
      <c r="B118" s="39" t="inlineStr">
        <is>
          <t>Parylene D</t>
        </is>
      </c>
      <c r="C118" s="39" t="inlineStr">
        <is>
          <t>Parylene-D</t>
        </is>
      </c>
      <c r="D118" s="39" t="inlineStr">
        <is>
          <t>Halogenated poly(p-xylylene)</t>
        </is>
      </c>
      <c r="E118" s="39" t="inlineStr">
        <is>
          <t>*Cc1c(Cl)cc(Cl)c(C*)c1</t>
        </is>
      </c>
      <c r="F118" s="39" t="inlineStr">
        <is>
          <t>PASS</t>
        </is>
      </c>
      <c r="G118" s="39" t="str"/>
      <c r="H118" s="158" t="n"/>
      <c r="I118" s="158" t="n"/>
      <c r="J118" s="158" t="n"/>
      <c r="K118" s="39" t="inlineStr">
        <is>
          <t>MERCK_TG</t>
        </is>
      </c>
      <c r="L118" s="159" t="n"/>
      <c r="M118" s="159" t="n"/>
      <c r="N118" s="159" t="n"/>
      <c r="O118" s="39" t="n"/>
      <c r="P118" s="159" t="n"/>
      <c r="Q118" s="159" t="n"/>
      <c r="R118" s="159" t="n"/>
      <c r="S118" s="39" t="n"/>
      <c r="T118" s="39" t="n">
        <v>0</v>
      </c>
      <c r="U118" s="39" t="inlineStr">
        <is>
          <t>C</t>
        </is>
      </c>
      <c r="V118" s="39" t="str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1">
    <mergeCell ref="A1:V2"/>
  </mergeCells>
  <conditionalFormatting sqref="T5:T118">
    <cfRule type="dataBar" priority="1">
      <dataBar>
        <cfvo type="min"/>
        <cfvo type="max"/>
        <color rgb="FF2F75B5"/>
      </dataBar>
    </cfRule>
  </conditionalFormatting>
  <conditionalFormatting sqref="U5:U118">
    <cfRule type="expression" priority="2" dxfId="0">
      <formula>U5="A"</formula>
    </cfRule>
    <cfRule type="expression" priority="3" dxfId="1">
      <formula>U5="B"</formula>
    </cfRule>
    <cfRule type="expression" priority="4" dxfId="2">
      <formula>U5="C"</formula>
    </cfRule>
  </conditionalFormatting>
  <conditionalFormatting sqref="G5:G118">
    <cfRule type="expression" priority="5" dxfId="3">
      <formula>G5="High"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42" customWidth="1" min="3" max="3"/>
    <col width="13" customWidth="1" min="4" max="4"/>
    <col width="11" customWidth="1" min="5" max="5"/>
    <col width="11" customWidth="1" min="6" max="6"/>
    <col width="11" customWidth="1" min="7" max="7"/>
    <col width="15" customWidth="1" min="8" max="8"/>
    <col width="12" customWidth="1" min="9" max="9"/>
    <col width="11" customWidth="1" min="10" max="10"/>
    <col width="11" customWidth="1" min="11" max="11"/>
    <col width="15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  <col width="12" customWidth="1" min="23" max="23"/>
    <col width="11" customWidth="1" min="24" max="24"/>
    <col width="12" customWidth="1" min="25" max="25"/>
    <col width="14" customWidth="1" min="26" max="26"/>
    <col width="11" customWidth="1" min="27" max="27"/>
    <col width="12" customWidth="1" min="28" max="28"/>
    <col width="9" customWidth="1" min="29" max="29"/>
    <col width="52" customWidth="1" min="30" max="30"/>
    <col width="36" customWidth="1" min="31" max="31"/>
    <col width="36" customWidth="1" min="32" max="32"/>
  </cols>
  <sheetData>
    <row r="1">
      <c r="A1" s="130" t="inlineStr">
        <is>
          <t>High-Quality External Validation Panel — paste AI predictions and compare to literature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127" t="inlineStr">
        <is>
          <t>Polymer</t>
        </is>
      </c>
      <c r="B4" s="127" t="inlineStr">
        <is>
          <t>Acronym</t>
        </is>
      </c>
      <c r="C4" s="127" t="inlineStr">
        <is>
          <t>Repeat_SMILES</t>
        </is>
      </c>
      <c r="D4" s="127" t="inlineStr">
        <is>
          <t>Tire_Relevance</t>
        </is>
      </c>
      <c r="E4" s="127" t="inlineStr">
        <is>
          <t>Lit_Tg_C</t>
        </is>
      </c>
      <c r="F4" s="127" t="inlineStr">
        <is>
          <t>Lit_Tg_Min</t>
        </is>
      </c>
      <c r="G4" s="127" t="inlineStr">
        <is>
          <t>Lit_Tg_Max</t>
        </is>
      </c>
      <c r="H4" s="127" t="inlineStr">
        <is>
          <t>Tg_Source</t>
        </is>
      </c>
      <c r="I4" s="127" t="inlineStr">
        <is>
          <t>Lit_Density</t>
        </is>
      </c>
      <c r="J4" s="127" t="inlineStr">
        <is>
          <t>Density_Min</t>
        </is>
      </c>
      <c r="K4" s="127" t="inlineStr">
        <is>
          <t>Density_Max</t>
        </is>
      </c>
      <c r="L4" s="127" t="inlineStr">
        <is>
          <t>Density_Source</t>
        </is>
      </c>
      <c r="M4" s="127" t="inlineStr">
        <is>
          <t>Lit_Tc</t>
        </is>
      </c>
      <c r="N4" s="127" t="inlineStr">
        <is>
          <t>Tc_Min</t>
        </is>
      </c>
      <c r="O4" s="127" t="inlineStr">
        <is>
          <t>Tc_Max</t>
        </is>
      </c>
      <c r="P4" s="127" t="inlineStr">
        <is>
          <t>Tc_Source</t>
        </is>
      </c>
      <c r="Q4" s="127" t="inlineStr">
        <is>
          <t>AI_Tg</t>
        </is>
      </c>
      <c r="R4" s="127" t="inlineStr">
        <is>
          <t>AI_Density</t>
        </is>
      </c>
      <c r="S4" s="127" t="inlineStr">
        <is>
          <t>AI_FFV</t>
        </is>
      </c>
      <c r="T4" s="127" t="inlineStr">
        <is>
          <t>AI_Tc</t>
        </is>
      </c>
      <c r="U4" s="127" t="inlineStr">
        <is>
          <t>AI_Rg</t>
        </is>
      </c>
      <c r="V4" s="127" t="inlineStr">
        <is>
          <t>AbsErr_Tg</t>
        </is>
      </c>
      <c r="W4" s="127" t="inlineStr">
        <is>
          <t>AbsErr_Density</t>
        </is>
      </c>
      <c r="X4" s="127" t="inlineStr">
        <is>
          <t>AbsErr_Tc</t>
        </is>
      </c>
      <c r="Y4" s="127" t="inlineStr">
        <is>
          <t>Tg_In_Range</t>
        </is>
      </c>
      <c r="Z4" s="127" t="inlineStr">
        <is>
          <t>Density_In_Range</t>
        </is>
      </c>
      <c r="AA4" s="127" t="inlineStr">
        <is>
          <t>Tc_In_Range</t>
        </is>
      </c>
      <c r="AB4" s="127" t="inlineStr">
        <is>
          <t>Core_Available</t>
        </is>
      </c>
      <c r="AC4" s="127" t="inlineStr">
        <is>
          <t>Tier</t>
        </is>
      </c>
      <c r="AD4" s="127" t="inlineStr">
        <is>
          <t>Notes</t>
        </is>
      </c>
      <c r="AE4" s="127" t="inlineStr">
        <is>
          <t>FFV_warning</t>
        </is>
      </c>
      <c r="AF4" s="127" t="inlineStr">
        <is>
          <t>Rg_warning</t>
        </is>
      </c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39" t="inlineStr">
        <is>
          <t>Poly(dimethylsiloxane)</t>
        </is>
      </c>
      <c r="B5" s="39" t="inlineStr">
        <is>
          <t>PDMS</t>
        </is>
      </c>
      <c r="C5" s="39" t="inlineStr">
        <is>
          <t>*O[Si](C)(C)*</t>
        </is>
      </c>
      <c r="D5" s="39" t="str"/>
      <c r="E5" s="158" t="n">
        <v>-127</v>
      </c>
      <c r="F5" s="158" t="n">
        <v>-127</v>
      </c>
      <c r="G5" s="158" t="n">
        <v>-127</v>
      </c>
      <c r="H5" s="39" t="inlineStr">
        <is>
          <t>MERCK_TG</t>
        </is>
      </c>
      <c r="I5" s="159" t="n"/>
      <c r="J5" s="159" t="n"/>
      <c r="K5" s="159" t="n"/>
      <c r="L5" s="39" t="n"/>
      <c r="M5" s="159" t="n"/>
      <c r="N5" s="159" t="n"/>
      <c r="O5" s="159" t="n"/>
      <c r="P5" s="39" t="n"/>
      <c r="Q5" s="160" t="n">
        <v>84.9131</v>
      </c>
      <c r="R5" s="161" t="n">
        <v>1.0456</v>
      </c>
      <c r="S5" s="140" t="n">
        <v>0.376</v>
      </c>
      <c r="T5" s="161" t="n">
        <v>0.2005</v>
      </c>
      <c r="U5" s="140" t="n">
        <v>18.0005</v>
      </c>
      <c r="V5" s="162" t="n">
        <v>211.9131</v>
      </c>
      <c r="W5" s="163">
        <f>IF(OR(R5="",I5=""),"",ABS(R5-I5))</f>
        <v/>
      </c>
      <c r="X5" s="163">
        <f>IF(OR(T5="",M5=""),"",ABS(T5-M5))</f>
        <v/>
      </c>
      <c r="Y5" s="39" t="b">
        <v>0</v>
      </c>
      <c r="Z5" s="39">
        <f>IF(R5="","",IF(AND(R5&gt;=J5,R5&lt;=K5),"PASS","FAIL"))</f>
        <v/>
      </c>
      <c r="AA5" s="39">
        <f>IF(T5="","",IF(AND(T5&gt;=N5,T5&lt;=O5),"PASS","FAIL"))</f>
        <v/>
      </c>
      <c r="AB5" s="39" t="n">
        <v>1</v>
      </c>
      <c r="AC5" s="39" t="inlineStr">
        <is>
          <t>C</t>
        </is>
      </c>
      <c r="AD5" s="39" t="str"/>
      <c r="AE5" s="39" t="inlineStr">
        <is>
          <t>Compare only if FFV definition/protocol is matched.</t>
        </is>
      </c>
      <c r="AF5" s="39" t="inlineStr">
        <is>
          <t>Compare only if MW/chain length/state/solvent are matched.</t>
        </is>
      </c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39" t="inlineStr">
        <is>
          <t>Polyacrylamide</t>
        </is>
      </c>
      <c r="B6" s="39" t="inlineStr">
        <is>
          <t>PAM</t>
        </is>
      </c>
      <c r="C6" s="39" t="inlineStr">
        <is>
          <t>*CC(C(=O)N)*</t>
        </is>
      </c>
      <c r="D6" s="39" t="str"/>
      <c r="E6" s="158" t="n">
        <v>165</v>
      </c>
      <c r="F6" s="158" t="n">
        <v>165</v>
      </c>
      <c r="G6" s="158" t="n">
        <v>165</v>
      </c>
      <c r="H6" s="39" t="inlineStr">
        <is>
          <t>MERCK_TG</t>
        </is>
      </c>
      <c r="I6" s="159" t="n"/>
      <c r="J6" s="159" t="n"/>
      <c r="K6" s="159" t="n"/>
      <c r="L6" s="39" t="n"/>
      <c r="M6" s="159" t="n">
        <v>0.38</v>
      </c>
      <c r="N6" s="159" t="n">
        <v>0.38</v>
      </c>
      <c r="O6" s="159" t="n">
        <v>0.38</v>
      </c>
      <c r="P6" s="39" t="inlineStr">
        <is>
          <t>TC_REVIEW</t>
        </is>
      </c>
      <c r="Q6" s="160" t="n">
        <v>89.3807</v>
      </c>
      <c r="R6" s="161" t="n">
        <v>1.2478</v>
      </c>
      <c r="S6" s="140" t="n">
        <v>0.2504</v>
      </c>
      <c r="T6" s="161" t="n">
        <v>0.1849</v>
      </c>
      <c r="U6" s="140" t="n">
        <v>17.8009</v>
      </c>
      <c r="V6" s="162" t="n">
        <v>75.6193</v>
      </c>
      <c r="W6" s="163">
        <f>IF(OR(R6="",I6=""),"",ABS(R6-I6))</f>
        <v/>
      </c>
      <c r="X6" s="163" t="n">
        <v>0.1951</v>
      </c>
      <c r="Y6" s="39" t="b">
        <v>0</v>
      </c>
      <c r="Z6" s="39">
        <f>IF(R6="","",IF(AND(R6&gt;=J6,R6&lt;=K6),"PASS","FAIL"))</f>
        <v/>
      </c>
      <c r="AA6" s="39" t="b">
        <v>0</v>
      </c>
      <c r="AB6" s="39" t="n">
        <v>2</v>
      </c>
      <c r="AC6" s="39" t="inlineStr">
        <is>
          <t>B</t>
        </is>
      </c>
      <c r="AD6" s="39" t="str"/>
      <c r="AE6" s="39" t="inlineStr">
        <is>
          <t>Compare only if FFV definition/protocol is matched.</t>
        </is>
      </c>
      <c r="AF6" s="39" t="inlineStr">
        <is>
          <t>Compare only if MW/chain length/state/solvent are matched.</t>
        </is>
      </c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39" t="inlineStr">
        <is>
          <t>Poly(acrylic acid)</t>
        </is>
      </c>
      <c r="B7" s="39" t="inlineStr">
        <is>
          <t>PAA</t>
        </is>
      </c>
      <c r="C7" s="39" t="inlineStr">
        <is>
          <t>*CC(C(=O)O)*</t>
        </is>
      </c>
      <c r="D7" s="39" t="str"/>
      <c r="E7" s="158" t="n">
        <v>105</v>
      </c>
      <c r="F7" s="158" t="n">
        <v>105</v>
      </c>
      <c r="G7" s="158" t="n">
        <v>105</v>
      </c>
      <c r="H7" s="39" t="inlineStr">
        <is>
          <t>MERCK_TG</t>
        </is>
      </c>
      <c r="I7" s="159" t="n"/>
      <c r="J7" s="159" t="n"/>
      <c r="K7" s="159" t="n"/>
      <c r="L7" s="39" t="n"/>
      <c r="M7" s="159" t="n">
        <v>0.37</v>
      </c>
      <c r="N7" s="159" t="n">
        <v>0.37</v>
      </c>
      <c r="O7" s="159" t="n">
        <v>0.37</v>
      </c>
      <c r="P7" s="39" t="inlineStr">
        <is>
          <t>TC_REVIEW</t>
        </is>
      </c>
      <c r="Q7" s="160" t="n">
        <v>88.72329999999999</v>
      </c>
      <c r="R7" s="161" t="n">
        <v>1.1974</v>
      </c>
      <c r="S7" s="140" t="n">
        <v>0.2606</v>
      </c>
      <c r="T7" s="161" t="n">
        <v>0.1965</v>
      </c>
      <c r="U7" s="140" t="n">
        <v>18.4441</v>
      </c>
      <c r="V7" s="162" t="n">
        <v>16.2767</v>
      </c>
      <c r="W7" s="163">
        <f>IF(OR(R7="",I7=""),"",ABS(R7-I7))</f>
        <v/>
      </c>
      <c r="X7" s="163" t="n">
        <v>0.1735</v>
      </c>
      <c r="Y7" s="39" t="b">
        <v>0</v>
      </c>
      <c r="Z7" s="39">
        <f>IF(R7="","",IF(AND(R7&gt;=J7,R7&lt;=K7),"PASS","FAIL"))</f>
        <v/>
      </c>
      <c r="AA7" s="39" t="b">
        <v>0</v>
      </c>
      <c r="AB7" s="39" t="n">
        <v>2</v>
      </c>
      <c r="AC7" s="39" t="inlineStr">
        <is>
          <t>B</t>
        </is>
      </c>
      <c r="AD7" s="39" t="str"/>
      <c r="AE7" s="39" t="inlineStr">
        <is>
          <t>Compare only if FFV definition/protocol is matched.</t>
        </is>
      </c>
      <c r="AF7" s="39" t="inlineStr">
        <is>
          <t>Compare only if MW/chain length/state/solvent are matched.</t>
        </is>
      </c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39" t="inlineStr">
        <is>
          <t>Bisphenol-A polycarbonate</t>
        </is>
      </c>
      <c r="B8" s="39" t="inlineStr">
        <is>
          <t>BPA-PC</t>
        </is>
      </c>
      <c r="C8" s="39" t="inlineStr">
        <is>
          <t>*Oc1ccc(C(C)(C)c2ccc(OC(=O)O*)cc2)cc1</t>
        </is>
      </c>
      <c r="D8" s="39" t="str"/>
      <c r="E8" s="158" t="n">
        <v>145</v>
      </c>
      <c r="F8" s="158" t="n">
        <v>145</v>
      </c>
      <c r="G8" s="158" t="n">
        <v>145</v>
      </c>
      <c r="H8" s="39" t="inlineStr">
        <is>
          <t>PLASTICS_BOOK</t>
        </is>
      </c>
      <c r="I8" s="159" t="n">
        <v>1.2</v>
      </c>
      <c r="J8" s="159" t="n">
        <v>1.2</v>
      </c>
      <c r="K8" s="159" t="n">
        <v>1.2</v>
      </c>
      <c r="L8" s="39" t="inlineStr">
        <is>
          <t>PLASTICS_BOOK</t>
        </is>
      </c>
      <c r="M8" s="159" t="n"/>
      <c r="N8" s="159" t="n">
        <v>0.18</v>
      </c>
      <c r="O8" s="159" t="n">
        <v>0.21</v>
      </c>
      <c r="P8" s="39" t="inlineStr">
        <is>
          <t>TC_ENG</t>
        </is>
      </c>
      <c r="Q8" s="160" t="n">
        <v>72.4188</v>
      </c>
      <c r="R8" s="161" t="n">
        <v>1.108</v>
      </c>
      <c r="S8" s="140" t="n">
        <v>0.3432</v>
      </c>
      <c r="T8" s="161" t="n">
        <v>0.2233</v>
      </c>
      <c r="U8" s="140" t="n">
        <v>20.0117</v>
      </c>
      <c r="V8" s="162" t="n">
        <v>72.5812</v>
      </c>
      <c r="W8" s="163" t="n">
        <v>0.092</v>
      </c>
      <c r="X8" s="163">
        <f>IF(OR(T8="",M8=""),"",ABS(T8-M8))</f>
        <v/>
      </c>
      <c r="Y8" s="39" t="b">
        <v>0</v>
      </c>
      <c r="Z8" s="39" t="b">
        <v>0</v>
      </c>
      <c r="AA8" s="39" t="b">
        <v>0</v>
      </c>
      <c r="AB8" s="39" t="n">
        <v>3</v>
      </c>
      <c r="AC8" s="39" t="inlineStr">
        <is>
          <t>A</t>
        </is>
      </c>
      <c r="AD8" s="39" t="str"/>
      <c r="AE8" s="39" t="inlineStr">
        <is>
          <t>Compare only if FFV definition/protocol is matched.</t>
        </is>
      </c>
      <c r="AF8" s="39" t="inlineStr">
        <is>
          <t>Compare only if MW/chain length/state/solvent are matched.</t>
        </is>
      </c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39" t="inlineStr">
        <is>
          <t>Poly(n-butyl acrylate)</t>
        </is>
      </c>
      <c r="B9" s="39" t="inlineStr">
        <is>
          <t>PnBA</t>
        </is>
      </c>
      <c r="C9" s="39" t="inlineStr">
        <is>
          <t>*CC(C(=O)OCCCC)*</t>
        </is>
      </c>
      <c r="D9" s="39" t="inlineStr">
        <is>
          <t>High</t>
        </is>
      </c>
      <c r="E9" s="158" t="n">
        <v>-55.2</v>
      </c>
      <c r="F9" s="158" t="n">
        <v>-55.2</v>
      </c>
      <c r="G9" s="158" t="n">
        <v>-55.2</v>
      </c>
      <c r="H9" s="39" t="inlineStr">
        <is>
          <t>POLYACRYLATE</t>
        </is>
      </c>
      <c r="I9" s="159" t="n">
        <v>1.04</v>
      </c>
      <c r="J9" s="159" t="n">
        <v>1.04</v>
      </c>
      <c r="K9" s="159" t="n">
        <v>1.04</v>
      </c>
      <c r="L9" s="39" t="inlineStr">
        <is>
          <t>POLYACRYLATE</t>
        </is>
      </c>
      <c r="M9" s="159" t="n"/>
      <c r="N9" s="159" t="n"/>
      <c r="O9" s="159" t="n"/>
      <c r="P9" s="39" t="n"/>
      <c r="Q9" s="160" t="n">
        <v>-25.6645</v>
      </c>
      <c r="R9" s="161" t="n">
        <v>0.9434</v>
      </c>
      <c r="S9" s="140" t="n">
        <v>0.374</v>
      </c>
      <c r="T9" s="161" t="n">
        <v>0.2291</v>
      </c>
      <c r="U9" s="140" t="n">
        <v>13.1101</v>
      </c>
      <c r="V9" s="162" t="n">
        <v>29.5355</v>
      </c>
      <c r="W9" s="163" t="n">
        <v>0.09660000000000001</v>
      </c>
      <c r="X9" s="163">
        <f>IF(OR(T9="",M9=""),"",ABS(T9-M9))</f>
        <v/>
      </c>
      <c r="Y9" s="39" t="b">
        <v>0</v>
      </c>
      <c r="Z9" s="39" t="b">
        <v>0</v>
      </c>
      <c r="AA9" s="39">
        <f>IF(T9="","",IF(AND(T9&gt;=N9,T9&lt;=O9),"PASS","FAIL"))</f>
        <v/>
      </c>
      <c r="AB9" s="39" t="n">
        <v>2</v>
      </c>
      <c r="AC9" s="39" t="inlineStr">
        <is>
          <t>B</t>
        </is>
      </c>
      <c r="AD9" s="39" t="str"/>
      <c r="AE9" s="39" t="inlineStr">
        <is>
          <t>Compare only if FFV definition/protocol is matched.</t>
        </is>
      </c>
      <c r="AF9" s="39" t="inlineStr">
        <is>
          <t>Compare only if MW/chain length/state/solvent are matched.</t>
        </is>
      </c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39" t="inlineStr">
        <is>
          <t>Poly(chlorotrifluoroethylene)</t>
        </is>
      </c>
      <c r="B10" s="39" t="inlineStr">
        <is>
          <t>PCTFE</t>
        </is>
      </c>
      <c r="C10" s="39" t="inlineStr">
        <is>
          <t>*C(F)(F)C(F)(Cl)*</t>
        </is>
      </c>
      <c r="D10" s="39" t="str"/>
      <c r="E10" s="158" t="n">
        <v>52</v>
      </c>
      <c r="F10" s="158" t="n">
        <v>52</v>
      </c>
      <c r="G10" s="158" t="n">
        <v>52</v>
      </c>
      <c r="H10" s="39" t="inlineStr">
        <is>
          <t>MERCK_TG</t>
        </is>
      </c>
      <c r="I10" s="159" t="n">
        <v>2.175</v>
      </c>
      <c r="J10" s="159" t="n">
        <v>2.08</v>
      </c>
      <c r="K10" s="159" t="n">
        <v>2.27</v>
      </c>
      <c r="L10" s="39" t="inlineStr">
        <is>
          <t>TC_ENG</t>
        </is>
      </c>
      <c r="M10" s="159" t="n"/>
      <c r="N10" s="159" t="n">
        <v>0.2</v>
      </c>
      <c r="O10" s="159" t="n">
        <v>0.22</v>
      </c>
      <c r="P10" s="39" t="inlineStr">
        <is>
          <t>TC_ENG</t>
        </is>
      </c>
      <c r="Q10" s="160" t="n">
        <v>13.1597</v>
      </c>
      <c r="R10" s="161" t="n">
        <v>1.5466</v>
      </c>
      <c r="S10" s="140" t="n">
        <v>0.3364</v>
      </c>
      <c r="T10" s="161" t="n">
        <v>0.1248</v>
      </c>
      <c r="U10" s="140" t="n">
        <v>20.6789</v>
      </c>
      <c r="V10" s="162" t="n">
        <v>38.8403</v>
      </c>
      <c r="W10" s="163" t="n">
        <v>0.6284</v>
      </c>
      <c r="X10" s="163">
        <f>IF(OR(T10="",M10=""),"",ABS(T10-M10))</f>
        <v/>
      </c>
      <c r="Y10" s="39" t="b">
        <v>0</v>
      </c>
      <c r="Z10" s="39" t="b">
        <v>0</v>
      </c>
      <c r="AA10" s="39" t="b">
        <v>0</v>
      </c>
      <c r="AB10" s="39" t="n">
        <v>3</v>
      </c>
      <c r="AC10" s="39" t="inlineStr">
        <is>
          <t>A</t>
        </is>
      </c>
      <c r="AD10" s="39" t="str"/>
      <c r="AE10" s="39" t="inlineStr">
        <is>
          <t>Compare only if FFV definition/protocol is matched.</t>
        </is>
      </c>
      <c r="AF10" s="39" t="inlineStr">
        <is>
          <t>Compare only if MW/chain length/state/solvent are matched.</t>
        </is>
      </c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39" t="inlineStr">
        <is>
          <t>Poly(ethyl acrylate)</t>
        </is>
      </c>
      <c r="B11" s="39" t="inlineStr">
        <is>
          <t>PEA</t>
        </is>
      </c>
      <c r="C11" s="39" t="inlineStr">
        <is>
          <t>*CC(C(=O)OCC)*</t>
        </is>
      </c>
      <c r="D11" s="39" t="inlineStr">
        <is>
          <t>High</t>
        </is>
      </c>
      <c r="E11" s="158" t="n">
        <v>-23.2</v>
      </c>
      <c r="F11" s="158" t="n">
        <v>-23.2</v>
      </c>
      <c r="G11" s="158" t="n">
        <v>-23.2</v>
      </c>
      <c r="H11" s="39" t="inlineStr">
        <is>
          <t>POLYACRYLATE</t>
        </is>
      </c>
      <c r="I11" s="159" t="n">
        <v>1.12</v>
      </c>
      <c r="J11" s="159" t="n">
        <v>1.12</v>
      </c>
      <c r="K11" s="159" t="n">
        <v>1.12</v>
      </c>
      <c r="L11" s="39" t="inlineStr">
        <is>
          <t>POLYACRYLATE</t>
        </is>
      </c>
      <c r="M11" s="159" t="n"/>
      <c r="N11" s="159" t="n"/>
      <c r="O11" s="159" t="n"/>
      <c r="P11" s="39" t="n"/>
      <c r="Q11" s="160" t="n">
        <v>20.9601</v>
      </c>
      <c r="R11" s="161" t="n">
        <v>0.9863</v>
      </c>
      <c r="S11" s="140" t="n">
        <v>0.3597</v>
      </c>
      <c r="T11" s="161" t="n">
        <v>0.2246</v>
      </c>
      <c r="U11" s="140" t="n">
        <v>14.7455</v>
      </c>
      <c r="V11" s="162" t="n">
        <v>44.1601</v>
      </c>
      <c r="W11" s="163" t="n">
        <v>0.1337</v>
      </c>
      <c r="X11" s="163">
        <f>IF(OR(T11="",M11=""),"",ABS(T11-M11))</f>
        <v/>
      </c>
      <c r="Y11" s="39" t="b">
        <v>0</v>
      </c>
      <c r="Z11" s="39" t="b">
        <v>0</v>
      </c>
      <c r="AA11" s="39">
        <f>IF(T11="","",IF(AND(T11&gt;=N11,T11&lt;=O11),"PASS","FAIL"))</f>
        <v/>
      </c>
      <c r="AB11" s="39" t="n">
        <v>2</v>
      </c>
      <c r="AC11" s="39" t="inlineStr">
        <is>
          <t>B</t>
        </is>
      </c>
      <c r="AD11" s="39" t="str"/>
      <c r="AE11" s="39" t="inlineStr">
        <is>
          <t>Compare only if FFV definition/protocol is matched.</t>
        </is>
      </c>
      <c r="AF11" s="39" t="inlineStr">
        <is>
          <t>Compare only if MW/chain length/state/solvent are matched.</t>
        </is>
      </c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39" t="inlineStr">
        <is>
          <t>LDPE reference</t>
        </is>
      </c>
      <c r="B12" s="39" t="inlineStr">
        <is>
          <t>LDPE</t>
        </is>
      </c>
      <c r="C12" s="39" t="inlineStr">
        <is>
          <t>*CC*</t>
        </is>
      </c>
      <c r="D12" s="39" t="inlineStr">
        <is>
          <t>High</t>
        </is>
      </c>
      <c r="E12" s="158" t="n">
        <v>-120</v>
      </c>
      <c r="F12" s="158" t="n">
        <v>-120</v>
      </c>
      <c r="G12" s="158" t="n">
        <v>-120</v>
      </c>
      <c r="H12" s="39" t="inlineStr">
        <is>
          <t>PLASTICS_BOOK</t>
        </is>
      </c>
      <c r="I12" s="159" t="n">
        <v>0.9225</v>
      </c>
      <c r="J12" s="159" t="n">
        <v>0.92</v>
      </c>
      <c r="K12" s="159" t="n">
        <v>0.925</v>
      </c>
      <c r="L12" s="39" t="inlineStr">
        <is>
          <t>PLASTICS_BOOK</t>
        </is>
      </c>
      <c r="M12" s="159" t="n">
        <v>0.34</v>
      </c>
      <c r="N12" s="159" t="n">
        <v>0.34</v>
      </c>
      <c r="O12" s="159" t="n">
        <v>0.34</v>
      </c>
      <c r="P12" s="39" t="inlineStr">
        <is>
          <t>TC_ENG</t>
        </is>
      </c>
      <c r="Q12" s="160" t="n">
        <v>-5.8661</v>
      </c>
      <c r="R12" s="161" t="n">
        <v>0.8207</v>
      </c>
      <c r="S12" s="140" t="n">
        <v>0.4074</v>
      </c>
      <c r="T12" s="161" t="n">
        <v>0.3254</v>
      </c>
      <c r="U12" s="140" t="n">
        <v>25.1256</v>
      </c>
      <c r="V12" s="162" t="n">
        <v>114.1339</v>
      </c>
      <c r="W12" s="163" t="n">
        <v>0.1018</v>
      </c>
      <c r="X12" s="163" t="n">
        <v>0.0146</v>
      </c>
      <c r="Y12" s="39" t="b">
        <v>0</v>
      </c>
      <c r="Z12" s="39" t="b">
        <v>0</v>
      </c>
      <c r="AA12" s="39" t="b">
        <v>0</v>
      </c>
      <c r="AB12" s="39" t="n">
        <v>3</v>
      </c>
      <c r="AC12" s="39" t="inlineStr">
        <is>
          <t>A</t>
        </is>
      </c>
      <c r="AD12" s="39" t="inlineStr">
        <is>
          <t>Same repeat SMILES as HDPE/MDPE; morphology/branching is not encoded by a simple repeat unit.</t>
        </is>
      </c>
      <c r="AE12" s="39" t="inlineStr">
        <is>
          <t>Compare only if FFV definition/protocol is matched.</t>
        </is>
      </c>
      <c r="AF12" s="39" t="inlineStr">
        <is>
          <t>Compare only if MW/chain length/state/solvent are matched.</t>
        </is>
      </c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39" t="inlineStr">
        <is>
          <t>HDPE reference</t>
        </is>
      </c>
      <c r="B13" s="39" t="inlineStr">
        <is>
          <t>HDPE</t>
        </is>
      </c>
      <c r="C13" s="39" t="inlineStr">
        <is>
          <t>*CC*</t>
        </is>
      </c>
      <c r="D13" s="39" t="inlineStr">
        <is>
          <t>High</t>
        </is>
      </c>
      <c r="E13" s="158" t="n">
        <v>-120</v>
      </c>
      <c r="F13" s="158" t="n">
        <v>-120</v>
      </c>
      <c r="G13" s="158" t="n">
        <v>-120</v>
      </c>
      <c r="H13" s="39" t="inlineStr">
        <is>
          <t>PLASTICS_BOOK</t>
        </is>
      </c>
      <c r="I13" s="159" t="n">
        <v>0.96</v>
      </c>
      <c r="J13" s="159" t="n">
        <v>0.955</v>
      </c>
      <c r="K13" s="159" t="n">
        <v>0.965</v>
      </c>
      <c r="L13" s="39" t="inlineStr">
        <is>
          <t>PLASTICS_BOOK</t>
        </is>
      </c>
      <c r="M13" s="159" t="n">
        <v>0.48</v>
      </c>
      <c r="N13" s="159" t="n">
        <v>0.46</v>
      </c>
      <c r="O13" s="159" t="n">
        <v>0.5</v>
      </c>
      <c r="P13" s="39" t="inlineStr">
        <is>
          <t>TC_ENG</t>
        </is>
      </c>
      <c r="Q13" s="160" t="n">
        <v>-5.8661</v>
      </c>
      <c r="R13" s="161" t="n">
        <v>0.8207</v>
      </c>
      <c r="S13" s="140" t="n">
        <v>0.4074</v>
      </c>
      <c r="T13" s="161" t="n">
        <v>0.3254</v>
      </c>
      <c r="U13" s="140" t="n">
        <v>25.1256</v>
      </c>
      <c r="V13" s="162" t="n">
        <v>114.1339</v>
      </c>
      <c r="W13" s="163" t="n">
        <v>0.1393</v>
      </c>
      <c r="X13" s="163" t="n">
        <v>0.1546</v>
      </c>
      <c r="Y13" s="39" t="b">
        <v>0</v>
      </c>
      <c r="Z13" s="39" t="b">
        <v>0</v>
      </c>
      <c r="AA13" s="39" t="b">
        <v>0</v>
      </c>
      <c r="AB13" s="39" t="n">
        <v>3</v>
      </c>
      <c r="AC13" s="39" t="inlineStr">
        <is>
          <t>A</t>
        </is>
      </c>
      <c r="AD13" s="39" t="inlineStr">
        <is>
          <t>Same repeat SMILES as LDPE; model cannot infer crystallinity/branching from *CC* alone.</t>
        </is>
      </c>
      <c r="AE13" s="39" t="inlineStr">
        <is>
          <t>Compare only if FFV definition/protocol is matched.</t>
        </is>
      </c>
      <c r="AF13" s="39" t="inlineStr">
        <is>
          <t>Compare only if MW/chain length/state/solvent are matched.</t>
        </is>
      </c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39" t="inlineStr">
        <is>
          <t>Poly(ethylene terephthalate)</t>
        </is>
      </c>
      <c r="B14" s="39" t="inlineStr">
        <is>
          <t>PET</t>
        </is>
      </c>
      <c r="C14" s="39" t="inlineStr">
        <is>
          <t>*OCCOC(=O)c1ccc(C(=O)*)cc1</t>
        </is>
      </c>
      <c r="D14" s="39" t="str"/>
      <c r="E14" s="158" t="n">
        <v>80</v>
      </c>
      <c r="F14" s="158" t="n">
        <v>80</v>
      </c>
      <c r="G14" s="158" t="n">
        <v>80</v>
      </c>
      <c r="H14" s="39" t="inlineStr">
        <is>
          <t>PLASTICS_BOOK</t>
        </is>
      </c>
      <c r="I14" s="159" t="n">
        <v>1.338</v>
      </c>
      <c r="J14" s="159" t="n">
        <v>1.336</v>
      </c>
      <c r="K14" s="159" t="n">
        <v>1.34</v>
      </c>
      <c r="L14" s="39" t="inlineStr">
        <is>
          <t>PLASTICS_BOOK</t>
        </is>
      </c>
      <c r="M14" s="159" t="n"/>
      <c r="N14" s="159" t="n">
        <v>0.14</v>
      </c>
      <c r="O14" s="159" t="n">
        <v>0.15</v>
      </c>
      <c r="P14" s="39" t="inlineStr">
        <is>
          <t>TC_ENG</t>
        </is>
      </c>
      <c r="Q14" s="160" t="n">
        <v>61.6787</v>
      </c>
      <c r="R14" s="161" t="n">
        <v>1.1593</v>
      </c>
      <c r="S14" s="140" t="n">
        <v>0.3345</v>
      </c>
      <c r="T14" s="161" t="n">
        <v>0.2167</v>
      </c>
      <c r="U14" s="140" t="n">
        <v>18.9819</v>
      </c>
      <c r="V14" s="162" t="n">
        <v>18.3213</v>
      </c>
      <c r="W14" s="163" t="n">
        <v>0.1787</v>
      </c>
      <c r="X14" s="163">
        <f>IF(OR(T14="",M14=""),"",ABS(T14-M14))</f>
        <v/>
      </c>
      <c r="Y14" s="39" t="b">
        <v>0</v>
      </c>
      <c r="Z14" s="39" t="b">
        <v>0</v>
      </c>
      <c r="AA14" s="39" t="b">
        <v>0</v>
      </c>
      <c r="AB14" s="39" t="n">
        <v>3</v>
      </c>
      <c r="AC14" s="39" t="inlineStr">
        <is>
          <t>A</t>
        </is>
      </c>
      <c r="AD14" s="39" t="inlineStr">
        <is>
          <t>Density/Tc depend on crystallinity/orientation; value is a grade/reference range.</t>
        </is>
      </c>
      <c r="AE14" s="39" t="inlineStr">
        <is>
          <t>Compare only if FFV definition/protocol is matched.</t>
        </is>
      </c>
      <c r="AF14" s="39" t="inlineStr">
        <is>
          <t>Compare only if MW/chain length/state/solvent are matched.</t>
        </is>
      </c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39" t="inlineStr">
        <is>
          <t>Poly(2-ethylhexyl acrylate)</t>
        </is>
      </c>
      <c r="B15" s="39" t="inlineStr">
        <is>
          <t>PEHA</t>
        </is>
      </c>
      <c r="C15" s="39" t="inlineStr">
        <is>
          <t>*CC(C(=O)OCC(CC)CCCC)*</t>
        </is>
      </c>
      <c r="D15" s="39" t="inlineStr">
        <is>
          <t>High</t>
        </is>
      </c>
      <c r="E15" s="158" t="n">
        <v>-85.2</v>
      </c>
      <c r="F15" s="158" t="n">
        <v>-85.2</v>
      </c>
      <c r="G15" s="158" t="n">
        <v>-85.2</v>
      </c>
      <c r="H15" s="39" t="inlineStr">
        <is>
          <t>POLYACRYLATE</t>
        </is>
      </c>
      <c r="I15" s="159" t="n">
        <v>0.74</v>
      </c>
      <c r="J15" s="159" t="n">
        <v>0.74</v>
      </c>
      <c r="K15" s="159" t="n">
        <v>0.74</v>
      </c>
      <c r="L15" s="39" t="inlineStr">
        <is>
          <t>POLYACRYLATE</t>
        </is>
      </c>
      <c r="M15" s="159" t="n"/>
      <c r="N15" s="159" t="n"/>
      <c r="O15" s="159" t="n"/>
      <c r="P15" s="39" t="n"/>
      <c r="Q15" s="160" t="n">
        <v>13.431</v>
      </c>
      <c r="R15" s="161" t="n">
        <v>0.8968</v>
      </c>
      <c r="S15" s="140" t="n">
        <v>0.3846</v>
      </c>
      <c r="T15" s="161" t="n">
        <v>0.2334</v>
      </c>
      <c r="U15" s="140" t="n">
        <v>11.51</v>
      </c>
      <c r="V15" s="162" t="n">
        <v>98.631</v>
      </c>
      <c r="W15" s="163" t="n">
        <v>0.1568</v>
      </c>
      <c r="X15" s="163">
        <f>IF(OR(T15="",M15=""),"",ABS(T15-M15))</f>
        <v/>
      </c>
      <c r="Y15" s="39" t="b">
        <v>0</v>
      </c>
      <c r="Z15" s="39" t="b">
        <v>0</v>
      </c>
      <c r="AA15" s="39">
        <f>IF(T15="","",IF(AND(T15&gt;=N15,T15&lt;=O15),"PASS","FAIL"))</f>
        <v/>
      </c>
      <c r="AB15" s="39" t="n">
        <v>2</v>
      </c>
      <c r="AC15" s="39" t="inlineStr">
        <is>
          <t>B</t>
        </is>
      </c>
      <c r="AD15" s="39" t="str"/>
      <c r="AE15" s="39" t="inlineStr">
        <is>
          <t>Compare only if FFV definition/protocol is matched.</t>
        </is>
      </c>
      <c r="AF15" s="39" t="inlineStr">
        <is>
          <t>Compare only if MW/chain length/state/solvent are matched.</t>
        </is>
      </c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39" t="inlineStr">
        <is>
          <t>Polyisobutylene</t>
        </is>
      </c>
      <c r="B16" s="39" t="inlineStr">
        <is>
          <t>PIB</t>
        </is>
      </c>
      <c r="C16" s="39" t="inlineStr">
        <is>
          <t>*CC(C)(C)*</t>
        </is>
      </c>
      <c r="D16" s="39" t="inlineStr">
        <is>
          <t>High</t>
        </is>
      </c>
      <c r="E16" s="158" t="n">
        <v>-73</v>
      </c>
      <c r="F16" s="158" t="n">
        <v>-73</v>
      </c>
      <c r="G16" s="158" t="n">
        <v>-73</v>
      </c>
      <c r="H16" s="39" t="inlineStr">
        <is>
          <t>MERCK_TG</t>
        </is>
      </c>
      <c r="I16" s="159" t="n"/>
      <c r="J16" s="159" t="n"/>
      <c r="K16" s="159" t="n"/>
      <c r="L16" s="39" t="n"/>
      <c r="M16" s="159" t="n"/>
      <c r="N16" s="159" t="n"/>
      <c r="O16" s="159" t="n"/>
      <c r="P16" s="39" t="n"/>
      <c r="Q16" s="160" t="n">
        <v>49.4963</v>
      </c>
      <c r="R16" s="161" t="n">
        <v>0.8080000000000001</v>
      </c>
      <c r="S16" s="140" t="n">
        <v>0.3817</v>
      </c>
      <c r="T16" s="161" t="n">
        <v>0.2044</v>
      </c>
      <c r="U16" s="140" t="n">
        <v>16.3466</v>
      </c>
      <c r="V16" s="162" t="n">
        <v>122.4963</v>
      </c>
      <c r="W16" s="163">
        <f>IF(OR(R16="",I16=""),"",ABS(R16-I16))</f>
        <v/>
      </c>
      <c r="X16" s="163">
        <f>IF(OR(T16="",M16=""),"",ABS(T16-M16))</f>
        <v/>
      </c>
      <c r="Y16" s="39" t="b">
        <v>0</v>
      </c>
      <c r="Z16" s="39">
        <f>IF(R16="","",IF(AND(R16&gt;=J16,R16&lt;=K16),"PASS","FAIL"))</f>
        <v/>
      </c>
      <c r="AA16" s="39">
        <f>IF(T16="","",IF(AND(T16&gt;=N16,T16&lt;=O16),"PASS","FAIL"))</f>
        <v/>
      </c>
      <c r="AB16" s="39" t="n">
        <v>1</v>
      </c>
      <c r="AC16" s="39" t="inlineStr">
        <is>
          <t>C</t>
        </is>
      </c>
      <c r="AD16" s="39" t="inlineStr">
        <is>
          <t>Backbone proxy for butyl rubber major component; IIR itself is a copolymer with small isoprene fraction.</t>
        </is>
      </c>
      <c r="AE16" s="39" t="inlineStr">
        <is>
          <t>Compare only if FFV definition/protocol is matched.</t>
        </is>
      </c>
      <c r="AF16" s="39" t="inlineStr">
        <is>
          <t>Compare only if MW/chain length/state/solvent are matched.</t>
        </is>
      </c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39" t="inlineStr">
        <is>
          <t>cis-1,4-Polyisoprene / NR backbone</t>
        </is>
      </c>
      <c r="B17" s="39" t="inlineStr">
        <is>
          <t>PI/NR</t>
        </is>
      </c>
      <c r="C17" s="39" t="inlineStr">
        <is>
          <t>*CC(C)=CC*</t>
        </is>
      </c>
      <c r="D17" s="39" t="inlineStr">
        <is>
          <t>High</t>
        </is>
      </c>
      <c r="E17" s="158" t="n">
        <v>-58.15</v>
      </c>
      <c r="F17" s="158" t="n">
        <v>-58.15</v>
      </c>
      <c r="G17" s="158" t="n">
        <v>-58.15</v>
      </c>
      <c r="H17" s="39" t="inlineStr">
        <is>
          <t>RUBBER_PALS</t>
        </is>
      </c>
      <c r="I17" s="159" t="n">
        <v>0.917</v>
      </c>
      <c r="J17" s="159" t="n">
        <v>0.91</v>
      </c>
      <c r="K17" s="159" t="n">
        <v>0.917</v>
      </c>
      <c r="L17" s="39" t="inlineStr">
        <is>
          <t>SBR_NR_DENS</t>
        </is>
      </c>
      <c r="M17" s="159" t="n">
        <v>0.14</v>
      </c>
      <c r="N17" s="159" t="n">
        <v>0.134</v>
      </c>
      <c r="O17" s="159" t="n">
        <v>0.145</v>
      </c>
      <c r="P17" s="39" t="inlineStr">
        <is>
          <t>RUBBER_TC</t>
        </is>
      </c>
      <c r="Q17" s="160" t="n">
        <v>10.9283</v>
      </c>
      <c r="R17" s="161" t="n">
        <v>0.7934</v>
      </c>
      <c r="S17" s="140" t="n">
        <v>0.4028</v>
      </c>
      <c r="T17" s="161" t="n">
        <v>0.2371</v>
      </c>
      <c r="U17" s="140" t="n">
        <v>14.6976</v>
      </c>
      <c r="V17" s="162" t="n">
        <v>69.0783</v>
      </c>
      <c r="W17" s="163" t="n">
        <v>0.1236</v>
      </c>
      <c r="X17" s="163" t="n">
        <v>0.09710000000000001</v>
      </c>
      <c r="Y17" s="39" t="b">
        <v>0</v>
      </c>
      <c r="Z17" s="39" t="b">
        <v>0</v>
      </c>
      <c r="AA17" s="39" t="b">
        <v>0</v>
      </c>
      <c r="AB17" s="39" t="n">
        <v>3</v>
      </c>
      <c r="AC17" s="39" t="inlineStr">
        <is>
          <t>A</t>
        </is>
      </c>
      <c r="AD17" s="39" t="inlineStr">
        <is>
          <t>Tg from cured high-cis PI; density includes high-cis PI/NR references; Tc untreated PI.</t>
        </is>
      </c>
      <c r="AE17" s="39" t="inlineStr">
        <is>
          <t>Compare only if FFV definition/protocol is matched.</t>
        </is>
      </c>
      <c r="AF17" s="39" t="inlineStr">
        <is>
          <t>Compare only if MW/chain length/state/solvent are matched.</t>
        </is>
      </c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39" t="inlineStr">
        <is>
          <t>Poly(methyl acrylate)</t>
        </is>
      </c>
      <c r="B18" s="39" t="inlineStr">
        <is>
          <t>PMA</t>
        </is>
      </c>
      <c r="C18" s="39" t="inlineStr">
        <is>
          <t>*CC(C(=O)OC)*</t>
        </is>
      </c>
      <c r="D18" s="39" t="inlineStr">
        <is>
          <t>High</t>
        </is>
      </c>
      <c r="E18" s="158" t="n">
        <v>8.9</v>
      </c>
      <c r="F18" s="158" t="n">
        <v>8.9</v>
      </c>
      <c r="G18" s="158" t="n">
        <v>8.9</v>
      </c>
      <c r="H18" s="39" t="inlineStr">
        <is>
          <t>POLYACRYLATE</t>
        </is>
      </c>
      <c r="I18" s="159" t="n">
        <v>1.22</v>
      </c>
      <c r="J18" s="159" t="n">
        <v>1.22</v>
      </c>
      <c r="K18" s="159" t="n">
        <v>1.22</v>
      </c>
      <c r="L18" s="39" t="inlineStr">
        <is>
          <t>POLYACRYLATE</t>
        </is>
      </c>
      <c r="M18" s="159" t="n"/>
      <c r="N18" s="159" t="n"/>
      <c r="O18" s="159" t="n"/>
      <c r="P18" s="39" t="n"/>
      <c r="Q18" s="160" t="n">
        <v>51.9447</v>
      </c>
      <c r="R18" s="161" t="n">
        <v>1.0327</v>
      </c>
      <c r="S18" s="140" t="n">
        <v>0.3321</v>
      </c>
      <c r="T18" s="161" t="n">
        <v>0.2163</v>
      </c>
      <c r="U18" s="140" t="n">
        <v>16.8598</v>
      </c>
      <c r="V18" s="162" t="n">
        <v>43.0447</v>
      </c>
      <c r="W18" s="163" t="n">
        <v>0.1873</v>
      </c>
      <c r="X18" s="163">
        <f>IF(OR(T18="",M18=""),"",ABS(T18-M18))</f>
        <v/>
      </c>
      <c r="Y18" s="39" t="b">
        <v>0</v>
      </c>
      <c r="Z18" s="39" t="b">
        <v>0</v>
      </c>
      <c r="AA18" s="39">
        <f>IF(T18="","",IF(AND(T18&gt;=N18,T18&lt;=O18),"PASS","FAIL"))</f>
        <v/>
      </c>
      <c r="AB18" s="39" t="n">
        <v>2</v>
      </c>
      <c r="AC18" s="39" t="inlineStr">
        <is>
          <t>B</t>
        </is>
      </c>
      <c r="AD18" s="39" t="str"/>
      <c r="AE18" s="39" t="inlineStr">
        <is>
          <t>Compare only if FFV definition/protocol is matched.</t>
        </is>
      </c>
      <c r="AF18" s="39" t="inlineStr">
        <is>
          <t>Compare only if MW/chain length/state/solvent are matched.</t>
        </is>
      </c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39" t="inlineStr">
        <is>
          <t>Atactic PMMA</t>
        </is>
      </c>
      <c r="B19" s="39" t="inlineStr">
        <is>
          <t>a-PMMA</t>
        </is>
      </c>
      <c r="C19" s="39" t="inlineStr">
        <is>
          <t>*CC(C)(C(=O)OC)*</t>
        </is>
      </c>
      <c r="D19" s="39" t="str"/>
      <c r="E19" s="158" t="n">
        <v>105</v>
      </c>
      <c r="F19" s="158" t="n">
        <v>105</v>
      </c>
      <c r="G19" s="158" t="n">
        <v>105</v>
      </c>
      <c r="H19" s="39" t="inlineStr">
        <is>
          <t>MERCK_TG</t>
        </is>
      </c>
      <c r="I19" s="159" t="n">
        <v>1.19</v>
      </c>
      <c r="J19" s="159" t="n">
        <v>1.17</v>
      </c>
      <c r="K19" s="159" t="n">
        <v>1.2</v>
      </c>
      <c r="L19" s="39" t="inlineStr">
        <is>
          <t>PLASTICS_BOOK</t>
        </is>
      </c>
      <c r="M19" s="159" t="n">
        <v>0.2</v>
      </c>
      <c r="N19" s="159" t="n">
        <v>0.17</v>
      </c>
      <c r="O19" s="159" t="n">
        <v>0.25</v>
      </c>
      <c r="P19" s="39" t="inlineStr">
        <is>
          <t>TC_REVIEW</t>
        </is>
      </c>
      <c r="Q19" s="160" t="n">
        <v>74.2812</v>
      </c>
      <c r="R19" s="161" t="n">
        <v>0.9118000000000001</v>
      </c>
      <c r="S19" s="140" t="n">
        <v>0.344</v>
      </c>
      <c r="T19" s="161" t="n">
        <v>0.1637</v>
      </c>
      <c r="U19" s="140" t="n">
        <v>14.5456</v>
      </c>
      <c r="V19" s="162" t="n">
        <v>30.7188</v>
      </c>
      <c r="W19" s="163" t="n">
        <v>0.2782</v>
      </c>
      <c r="X19" s="163" t="n">
        <v>0.0363</v>
      </c>
      <c r="Y19" s="39" t="b">
        <v>0</v>
      </c>
      <c r="Z19" s="39" t="b">
        <v>0</v>
      </c>
      <c r="AA19" s="39" t="b">
        <v>0</v>
      </c>
      <c r="AB19" s="39" t="n">
        <v>3</v>
      </c>
      <c r="AC19" s="39" t="inlineStr">
        <is>
          <t>A</t>
        </is>
      </c>
      <c r="AD19" s="39" t="str"/>
      <c r="AE19" s="39" t="inlineStr">
        <is>
          <t>Compare only if FFV definition/protocol is matched.</t>
        </is>
      </c>
      <c r="AF19" s="39" t="inlineStr">
        <is>
          <t>Compare only if MW/chain length/state/solvent are matched.</t>
        </is>
      </c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39" t="inlineStr">
        <is>
          <t>Poly(4-methyl-1-pentene)</t>
        </is>
      </c>
      <c r="B20" s="39" t="inlineStr">
        <is>
          <t>P4MP</t>
        </is>
      </c>
      <c r="C20" s="39" t="inlineStr">
        <is>
          <t>*CC(CC(C)C)*</t>
        </is>
      </c>
      <c r="D20" s="39" t="inlineStr">
        <is>
          <t>High</t>
        </is>
      </c>
      <c r="E20" s="158" t="n">
        <v>25</v>
      </c>
      <c r="F20" s="158" t="n">
        <v>25</v>
      </c>
      <c r="G20" s="158" t="n">
        <v>25</v>
      </c>
      <c r="H20" s="39" t="inlineStr">
        <is>
          <t>PLASTICS_BOOK</t>
        </is>
      </c>
      <c r="I20" s="159" t="n">
        <v>0.83</v>
      </c>
      <c r="J20" s="159" t="n">
        <v>0.83</v>
      </c>
      <c r="K20" s="159" t="n">
        <v>0.83</v>
      </c>
      <c r="L20" s="39" t="inlineStr">
        <is>
          <t>PLASTICS_BOOK</t>
        </is>
      </c>
      <c r="M20" s="159" t="n"/>
      <c r="N20" s="159" t="n"/>
      <c r="O20" s="159" t="n"/>
      <c r="P20" s="39" t="n"/>
      <c r="Q20" s="160" t="n">
        <v>30.3138</v>
      </c>
      <c r="R20" s="161" t="n">
        <v>0.7594</v>
      </c>
      <c r="S20" s="140" t="n">
        <v>0.4017</v>
      </c>
      <c r="T20" s="161" t="n">
        <v>0.2059</v>
      </c>
      <c r="U20" s="140" t="n">
        <v>11.2994</v>
      </c>
      <c r="V20" s="162" t="n">
        <v>5.3138</v>
      </c>
      <c r="W20" s="163" t="n">
        <v>0.0706</v>
      </c>
      <c r="X20" s="163">
        <f>IF(OR(T20="",M20=""),"",ABS(T20-M20))</f>
        <v/>
      </c>
      <c r="Y20" s="39" t="b">
        <v>0</v>
      </c>
      <c r="Z20" s="39" t="b">
        <v>0</v>
      </c>
      <c r="AA20" s="39">
        <f>IF(T20="","",IF(AND(T20&gt;=N20,T20&lt;=O20),"PASS","FAIL"))</f>
        <v/>
      </c>
      <c r="AB20" s="39" t="n">
        <v>2</v>
      </c>
      <c r="AC20" s="39" t="inlineStr">
        <is>
          <t>B</t>
        </is>
      </c>
      <c r="AD20" s="39" t="str"/>
      <c r="AE20" s="39" t="inlineStr">
        <is>
          <t>Compare only if FFV definition/protocol is matched.</t>
        </is>
      </c>
      <c r="AF20" s="39" t="inlineStr">
        <is>
          <t>Compare only if MW/chain length/state/solvent are matched.</t>
        </is>
      </c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39" t="inlineStr">
        <is>
          <t>Nylon 6 / Polyamide 6</t>
        </is>
      </c>
      <c r="B21" s="39" t="inlineStr">
        <is>
          <t>PA6</t>
        </is>
      </c>
      <c r="C21" s="39" t="inlineStr">
        <is>
          <t>*NCCCCCC(=O)*</t>
        </is>
      </c>
      <c r="D21" s="39" t="str"/>
      <c r="E21" s="158" t="n">
        <v>50</v>
      </c>
      <c r="F21" s="158" t="n">
        <v>50</v>
      </c>
      <c r="G21" s="158" t="n">
        <v>50</v>
      </c>
      <c r="H21" s="39" t="inlineStr">
        <is>
          <t>PLASTICS_BOOK</t>
        </is>
      </c>
      <c r="I21" s="159" t="n">
        <v>1.135</v>
      </c>
      <c r="J21" s="159" t="n">
        <v>1.12</v>
      </c>
      <c r="K21" s="159" t="n">
        <v>1.15</v>
      </c>
      <c r="L21" s="39" t="inlineStr">
        <is>
          <t>PLASTICS_BOOK</t>
        </is>
      </c>
      <c r="M21" s="159" t="n"/>
      <c r="N21" s="159" t="n">
        <v>0.2</v>
      </c>
      <c r="O21" s="159" t="n">
        <v>0.3</v>
      </c>
      <c r="P21" s="39" t="inlineStr">
        <is>
          <t>TC_ENG</t>
        </is>
      </c>
      <c r="Q21" s="160" t="n">
        <v>-1.8591</v>
      </c>
      <c r="R21" s="161" t="n">
        <v>0.9796</v>
      </c>
      <c r="S21" s="140" t="n">
        <v>0.3328</v>
      </c>
      <c r="T21" s="161" t="n">
        <v>0.2682</v>
      </c>
      <c r="U21" s="140" t="n">
        <v>15.5233</v>
      </c>
      <c r="V21" s="162" t="n">
        <v>51.8591</v>
      </c>
      <c r="W21" s="163" t="n">
        <v>0.1554</v>
      </c>
      <c r="X21" s="163">
        <f>IF(OR(T21="",M21=""),"",ABS(T21-M21))</f>
        <v/>
      </c>
      <c r="Y21" s="39" t="b">
        <v>0</v>
      </c>
      <c r="Z21" s="39" t="b">
        <v>0</v>
      </c>
      <c r="AA21" s="39" t="b">
        <v>1</v>
      </c>
      <c r="AB21" s="39" t="n">
        <v>3</v>
      </c>
      <c r="AC21" s="39" t="inlineStr">
        <is>
          <t>A</t>
        </is>
      </c>
      <c r="AD21" s="39" t="str"/>
      <c r="AE21" s="39" t="inlineStr">
        <is>
          <t>Compare only if FFV definition/protocol is matched.</t>
        </is>
      </c>
      <c r="AF21" s="39" t="inlineStr">
        <is>
          <t>Compare only if MW/chain length/state/solvent are matched.</t>
        </is>
      </c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39" t="inlineStr">
        <is>
          <t>Nylon 6,6 / Polyamide 66</t>
        </is>
      </c>
      <c r="B22" s="39" t="inlineStr">
        <is>
          <t>PA66</t>
        </is>
      </c>
      <c r="C22" s="39" t="inlineStr">
        <is>
          <t>*NCCCCCCNC(=O)CCCC(=O)*</t>
        </is>
      </c>
      <c r="D22" s="39" t="str"/>
      <c r="E22" s="158" t="n">
        <v>57</v>
      </c>
      <c r="F22" s="158" t="n">
        <v>57</v>
      </c>
      <c r="G22" s="158" t="n">
        <v>57</v>
      </c>
      <c r="H22" s="39" t="inlineStr">
        <is>
          <t>PLASTICS_BOOK</t>
        </is>
      </c>
      <c r="I22" s="159" t="n">
        <v>1.145</v>
      </c>
      <c r="J22" s="159" t="n">
        <v>1.13</v>
      </c>
      <c r="K22" s="159" t="n">
        <v>1.16</v>
      </c>
      <c r="L22" s="39" t="inlineStr">
        <is>
          <t>PLASTICS_BOOK</t>
        </is>
      </c>
      <c r="M22" s="159" t="n"/>
      <c r="N22" s="159" t="n">
        <v>0.2</v>
      </c>
      <c r="O22" s="159" t="n">
        <v>0.3</v>
      </c>
      <c r="P22" s="39" t="inlineStr">
        <is>
          <t>TC_ENG</t>
        </is>
      </c>
      <c r="Q22" s="160" t="n">
        <v>33.0527</v>
      </c>
      <c r="R22" s="161" t="n">
        <v>1.0075</v>
      </c>
      <c r="S22" s="140" t="n">
        <v>0.3274</v>
      </c>
      <c r="T22" s="161" t="n">
        <v>0.2664</v>
      </c>
      <c r="U22" s="140" t="n">
        <v>18.7265</v>
      </c>
      <c r="V22" s="162" t="n">
        <v>23.9473</v>
      </c>
      <c r="W22" s="163" t="n">
        <v>0.1375</v>
      </c>
      <c r="X22" s="163">
        <f>IF(OR(T22="",M22=""),"",ABS(T22-M22))</f>
        <v/>
      </c>
      <c r="Y22" s="39" t="b">
        <v>0</v>
      </c>
      <c r="Z22" s="39" t="b">
        <v>0</v>
      </c>
      <c r="AA22" s="39" t="b">
        <v>1</v>
      </c>
      <c r="AB22" s="39" t="n">
        <v>3</v>
      </c>
      <c r="AC22" s="39" t="inlineStr">
        <is>
          <t>A</t>
        </is>
      </c>
      <c r="AD22" s="39" t="str"/>
      <c r="AE22" s="39" t="inlineStr">
        <is>
          <t>Compare only if FFV definition/protocol is matched.</t>
        </is>
      </c>
      <c r="AF22" s="39" t="inlineStr">
        <is>
          <t>Compare only if MW/chain length/state/solvent are matched.</t>
        </is>
      </c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39" t="inlineStr">
        <is>
          <t>Nylon 11</t>
        </is>
      </c>
      <c r="B23" s="39" t="inlineStr">
        <is>
          <t>PA11</t>
        </is>
      </c>
      <c r="C23" s="39" t="inlineStr">
        <is>
          <t>*NCCCCCCCCCCC(=O)*</t>
        </is>
      </c>
      <c r="D23" s="39" t="str"/>
      <c r="E23" s="158" t="n">
        <v>42</v>
      </c>
      <c r="F23" s="158" t="n">
        <v>42</v>
      </c>
      <c r="G23" s="158" t="n">
        <v>42</v>
      </c>
      <c r="H23" s="39" t="inlineStr">
        <is>
          <t>MERCK_TG</t>
        </is>
      </c>
      <c r="I23" s="159" t="n"/>
      <c r="J23" s="159" t="n"/>
      <c r="K23" s="159" t="n"/>
      <c r="L23" s="39" t="n"/>
      <c r="M23" s="159" t="n"/>
      <c r="N23" s="159" t="n">
        <v>0.34</v>
      </c>
      <c r="O23" s="159" t="n">
        <v>0.35</v>
      </c>
      <c r="P23" s="39" t="inlineStr">
        <is>
          <t>TC_ENG</t>
        </is>
      </c>
      <c r="Q23" s="160" t="n">
        <v>-13.4918</v>
      </c>
      <c r="R23" s="161" t="n">
        <v>0.9084</v>
      </c>
      <c r="S23" s="140" t="n">
        <v>0.3609</v>
      </c>
      <c r="T23" s="161" t="n">
        <v>0.3438</v>
      </c>
      <c r="U23" s="140" t="n">
        <v>21.4125</v>
      </c>
      <c r="V23" s="162" t="n">
        <v>55.4918</v>
      </c>
      <c r="W23" s="163">
        <f>IF(OR(R23="",I23=""),"",ABS(R23-I23))</f>
        <v/>
      </c>
      <c r="X23" s="163">
        <f>IF(OR(T23="",M23=""),"",ABS(T23-M23))</f>
        <v/>
      </c>
      <c r="Y23" s="39" t="b">
        <v>0</v>
      </c>
      <c r="Z23" s="39">
        <f>IF(R23="","",IF(AND(R23&gt;=J23,R23&lt;=K23),"PASS","FAIL"))</f>
        <v/>
      </c>
      <c r="AA23" s="39" t="b">
        <v>1</v>
      </c>
      <c r="AB23" s="39" t="n">
        <v>2</v>
      </c>
      <c r="AC23" s="39" t="inlineStr">
        <is>
          <t>B</t>
        </is>
      </c>
      <c r="AD23" s="39" t="str"/>
      <c r="AE23" s="39" t="inlineStr">
        <is>
          <t>Compare only if FFV definition/protocol is matched.</t>
        </is>
      </c>
      <c r="AF23" s="39" t="inlineStr">
        <is>
          <t>Compare only if MW/chain length/state/solvent are matched.</t>
        </is>
      </c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39" t="inlineStr">
        <is>
          <t>Nylon 12</t>
        </is>
      </c>
      <c r="B24" s="39" t="inlineStr">
        <is>
          <t>PA12</t>
        </is>
      </c>
      <c r="C24" s="39" t="inlineStr">
        <is>
          <t>*NCCCCCCCCCCCC(=O)*</t>
        </is>
      </c>
      <c r="D24" s="39" t="str"/>
      <c r="E24" s="158" t="n">
        <v>41</v>
      </c>
      <c r="F24" s="158" t="n">
        <v>41</v>
      </c>
      <c r="G24" s="158" t="n">
        <v>41</v>
      </c>
      <c r="H24" s="39" t="inlineStr">
        <is>
          <t>MERCK_TG</t>
        </is>
      </c>
      <c r="I24" s="159" t="n">
        <v>1.02</v>
      </c>
      <c r="J24" s="159" t="n">
        <v>1.02</v>
      </c>
      <c r="K24" s="159" t="n">
        <v>1.02</v>
      </c>
      <c r="L24" s="39" t="inlineStr">
        <is>
          <t>ENG_DENS</t>
        </is>
      </c>
      <c r="M24" s="159" t="n"/>
      <c r="N24" s="159" t="n">
        <v>0.25</v>
      </c>
      <c r="O24" s="159" t="n">
        <v>0.35</v>
      </c>
      <c r="P24" s="39" t="inlineStr">
        <is>
          <t>TC_ENG</t>
        </is>
      </c>
      <c r="Q24" s="160" t="n">
        <v>-7.8104</v>
      </c>
      <c r="R24" s="161" t="n">
        <v>0.8937</v>
      </c>
      <c r="S24" s="140" t="n">
        <v>0.3604</v>
      </c>
      <c r="T24" s="161" t="n">
        <v>0.336</v>
      </c>
      <c r="U24" s="140" t="n">
        <v>20.6451</v>
      </c>
      <c r="V24" s="162" t="n">
        <v>48.8104</v>
      </c>
      <c r="W24" s="163" t="n">
        <v>0.1263</v>
      </c>
      <c r="X24" s="163">
        <f>IF(OR(T24="",M24=""),"",ABS(T24-M24))</f>
        <v/>
      </c>
      <c r="Y24" s="39" t="b">
        <v>0</v>
      </c>
      <c r="Z24" s="39" t="b">
        <v>0</v>
      </c>
      <c r="AA24" s="39" t="b">
        <v>1</v>
      </c>
      <c r="AB24" s="39" t="n">
        <v>3</v>
      </c>
      <c r="AC24" s="39" t="inlineStr">
        <is>
          <t>A</t>
        </is>
      </c>
      <c r="AD24" s="39" t="str"/>
      <c r="AE24" s="39" t="inlineStr">
        <is>
          <t>Compare only if FFV definition/protocol is matched.</t>
        </is>
      </c>
      <c r="AF24" s="39" t="inlineStr">
        <is>
          <t>Compare only if MW/chain length/state/solvent are matched.</t>
        </is>
      </c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39" t="inlineStr">
        <is>
          <t>Atactic polypropylene</t>
        </is>
      </c>
      <c r="B25" s="39" t="inlineStr">
        <is>
          <t>a-PP</t>
        </is>
      </c>
      <c r="C25" s="39" t="inlineStr">
        <is>
          <t>*CC(C)*</t>
        </is>
      </c>
      <c r="D25" s="39" t="inlineStr">
        <is>
          <t>High</t>
        </is>
      </c>
      <c r="E25" s="158" t="n">
        <v>-13</v>
      </c>
      <c r="F25" s="158" t="n">
        <v>-13</v>
      </c>
      <c r="G25" s="158" t="n">
        <v>-13</v>
      </c>
      <c r="H25" s="39" t="inlineStr">
        <is>
          <t>MERCK_TG</t>
        </is>
      </c>
      <c r="I25" s="159" t="n">
        <v>0.905</v>
      </c>
      <c r="J25" s="159" t="n">
        <v>0.9</v>
      </c>
      <c r="K25" s="159" t="n">
        <v>0.91</v>
      </c>
      <c r="L25" s="39" t="inlineStr">
        <is>
          <t>PLASTICS_BOOK</t>
        </is>
      </c>
      <c r="M25" s="159" t="n"/>
      <c r="N25" s="159" t="n">
        <v>0.12</v>
      </c>
      <c r="O25" s="159" t="n">
        <v>0.2</v>
      </c>
      <c r="P25" s="39" t="inlineStr">
        <is>
          <t>TC_ENG</t>
        </is>
      </c>
      <c r="Q25" s="160" t="n">
        <v>12.6697</v>
      </c>
      <c r="R25" s="161" t="n">
        <v>0.7961</v>
      </c>
      <c r="S25" s="140" t="n">
        <v>0.3962</v>
      </c>
      <c r="T25" s="161" t="n">
        <v>0.2379</v>
      </c>
      <c r="U25" s="140" t="n">
        <v>15.6557</v>
      </c>
      <c r="V25" s="162" t="n">
        <v>25.6697</v>
      </c>
      <c r="W25" s="163" t="n">
        <v>0.1089</v>
      </c>
      <c r="X25" s="163">
        <f>IF(OR(T25="",M25=""),"",ABS(T25-M25))</f>
        <v/>
      </c>
      <c r="Y25" s="39" t="b">
        <v>0</v>
      </c>
      <c r="Z25" s="39" t="b">
        <v>0</v>
      </c>
      <c r="AA25" s="39" t="b">
        <v>0</v>
      </c>
      <c r="AB25" s="39" t="n">
        <v>3</v>
      </c>
      <c r="AC25" s="39" t="inlineStr">
        <is>
          <t>A</t>
        </is>
      </c>
      <c r="AD25" s="39" t="inlineStr">
        <is>
          <t>Tacticity is not explicit in plain 2D repeat SMILES.</t>
        </is>
      </c>
      <c r="AE25" s="39" t="inlineStr">
        <is>
          <t>Compare only if FFV definition/protocol is matched.</t>
        </is>
      </c>
      <c r="AF25" s="39" t="inlineStr">
        <is>
          <t>Compare only if MW/chain length/state/solvent are matched.</t>
        </is>
      </c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39" t="inlineStr">
        <is>
          <t>Isotactic polypropylene</t>
        </is>
      </c>
      <c r="B26" s="39" t="inlineStr">
        <is>
          <t>i-PP</t>
        </is>
      </c>
      <c r="C26" s="39" t="inlineStr">
        <is>
          <t>*CC(C)*</t>
        </is>
      </c>
      <c r="D26" s="39" t="inlineStr">
        <is>
          <t>High</t>
        </is>
      </c>
      <c r="E26" s="158" t="n">
        <v>-8</v>
      </c>
      <c r="F26" s="158" t="n">
        <v>-8</v>
      </c>
      <c r="G26" s="158" t="n">
        <v>-8</v>
      </c>
      <c r="H26" s="39" t="inlineStr">
        <is>
          <t>MERCK_TG</t>
        </is>
      </c>
      <c r="I26" s="159" t="n">
        <v>0.905</v>
      </c>
      <c r="J26" s="159" t="n">
        <v>0.9</v>
      </c>
      <c r="K26" s="159" t="n">
        <v>0.91</v>
      </c>
      <c r="L26" s="39" t="inlineStr">
        <is>
          <t>PLASTICS_BOOK</t>
        </is>
      </c>
      <c r="M26" s="159" t="n"/>
      <c r="N26" s="159" t="n">
        <v>0.12</v>
      </c>
      <c r="O26" s="159" t="n">
        <v>0.2</v>
      </c>
      <c r="P26" s="39" t="inlineStr">
        <is>
          <t>TC_ENG</t>
        </is>
      </c>
      <c r="Q26" s="160" t="n">
        <v>12.6697</v>
      </c>
      <c r="R26" s="161" t="n">
        <v>0.7961</v>
      </c>
      <c r="S26" s="140" t="n">
        <v>0.3962</v>
      </c>
      <c r="T26" s="161" t="n">
        <v>0.2379</v>
      </c>
      <c r="U26" s="140" t="n">
        <v>15.6557</v>
      </c>
      <c r="V26" s="162" t="n">
        <v>20.6697</v>
      </c>
      <c r="W26" s="163" t="n">
        <v>0.1089</v>
      </c>
      <c r="X26" s="163">
        <f>IF(OR(T26="",M26=""),"",ABS(T26-M26))</f>
        <v/>
      </c>
      <c r="Y26" s="39" t="b">
        <v>0</v>
      </c>
      <c r="Z26" s="39" t="b">
        <v>0</v>
      </c>
      <c r="AA26" s="39" t="b">
        <v>0</v>
      </c>
      <c r="AB26" s="39" t="n">
        <v>3</v>
      </c>
      <c r="AC26" s="39" t="inlineStr">
        <is>
          <t>A</t>
        </is>
      </c>
      <c r="AD26" s="39" t="inlineStr">
        <is>
          <t>Tacticity is not explicit in plain 2D repeat SMILES.</t>
        </is>
      </c>
      <c r="AE26" s="39" t="inlineStr">
        <is>
          <t>Compare only if FFV definition/protocol is matched.</t>
        </is>
      </c>
      <c r="AF26" s="39" t="inlineStr">
        <is>
          <t>Compare only if MW/chain length/state/solvent are matched.</t>
        </is>
      </c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39" t="inlineStr">
        <is>
          <t>Polytetrafluoroethylene</t>
        </is>
      </c>
      <c r="B27" s="39" t="inlineStr">
        <is>
          <t>PTFE</t>
        </is>
      </c>
      <c r="C27" s="39" t="inlineStr">
        <is>
          <t>*C(F)(F)C(F)(F)*</t>
        </is>
      </c>
      <c r="D27" s="39" t="str"/>
      <c r="E27" s="158" t="n">
        <v>-73</v>
      </c>
      <c r="F27" s="158" t="n">
        <v>-73</v>
      </c>
      <c r="G27" s="158" t="n">
        <v>-73</v>
      </c>
      <c r="H27" s="39" t="inlineStr">
        <is>
          <t>PLASTICS_BOOK</t>
        </is>
      </c>
      <c r="I27" s="159" t="n">
        <v>2.2</v>
      </c>
      <c r="J27" s="159" t="n">
        <v>2.14</v>
      </c>
      <c r="K27" s="159" t="n">
        <v>2.2</v>
      </c>
      <c r="L27" s="39" t="inlineStr">
        <is>
          <t>PLASTICS_BOOK</t>
        </is>
      </c>
      <c r="M27" s="159" t="n"/>
      <c r="N27" s="159" t="n">
        <v>0.24</v>
      </c>
      <c r="O27" s="159" t="n">
        <v>0.27</v>
      </c>
      <c r="P27" s="39" t="inlineStr">
        <is>
          <t>TC_ENG</t>
        </is>
      </c>
      <c r="Q27" s="160" t="n">
        <v>8.374599999999999</v>
      </c>
      <c r="R27" s="161" t="n">
        <v>1.4671</v>
      </c>
      <c r="S27" s="140" t="n">
        <v>0.3143</v>
      </c>
      <c r="T27" s="161" t="n">
        <v>0.1436</v>
      </c>
      <c r="U27" s="140" t="n">
        <v>20.6833</v>
      </c>
      <c r="V27" s="162" t="n">
        <v>81.3746</v>
      </c>
      <c r="W27" s="163" t="n">
        <v>0.7329</v>
      </c>
      <c r="X27" s="163">
        <f>IF(OR(T27="",M27=""),"",ABS(T27-M27))</f>
        <v/>
      </c>
      <c r="Y27" s="39" t="b">
        <v>0</v>
      </c>
      <c r="Z27" s="39" t="b">
        <v>0</v>
      </c>
      <c r="AA27" s="39" t="b">
        <v>0</v>
      </c>
      <c r="AB27" s="39" t="n">
        <v>3</v>
      </c>
      <c r="AC27" s="39" t="inlineStr">
        <is>
          <t>A</t>
        </is>
      </c>
      <c r="AD27" s="39" t="inlineStr">
        <is>
          <t>PTFE has multiple relaxations/transitions; Tg assignment is source-dependent. Merck lists 117 C while the cited engineering text lists -73 C.</t>
        </is>
      </c>
      <c r="AE27" s="39" t="inlineStr">
        <is>
          <t>Compare only if FFV definition/protocol is matched.</t>
        </is>
      </c>
      <c r="AF27" s="39" t="inlineStr">
        <is>
          <t>Compare only if MW/chain length/state/solvent are matched.</t>
        </is>
      </c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9" t="inlineStr">
        <is>
          <t>Poly(butylene terephthalate)</t>
        </is>
      </c>
      <c r="B28" s="39" t="inlineStr">
        <is>
          <t>PBT</t>
        </is>
      </c>
      <c r="C28" s="39" t="inlineStr">
        <is>
          <t>*OCCCCOC(=O)c1ccc(C(=O)*)cc1</t>
        </is>
      </c>
      <c r="D28" s="39" t="str"/>
      <c r="E28" s="158" t="n">
        <v>17</v>
      </c>
      <c r="F28" s="158" t="n">
        <v>17</v>
      </c>
      <c r="G28" s="158" t="n">
        <v>17</v>
      </c>
      <c r="H28" s="39" t="inlineStr">
        <is>
          <t>MERCK_TG</t>
        </is>
      </c>
      <c r="I28" s="159" t="n">
        <v>1.31</v>
      </c>
      <c r="J28" s="159" t="n">
        <v>1.31</v>
      </c>
      <c r="K28" s="159" t="n">
        <v>1.31</v>
      </c>
      <c r="L28" s="39" t="inlineStr">
        <is>
          <t>ENG_DENS</t>
        </is>
      </c>
      <c r="M28" s="159" t="n"/>
      <c r="N28" s="159" t="n">
        <v>0.18</v>
      </c>
      <c r="O28" s="159" t="n">
        <v>0.29</v>
      </c>
      <c r="P28" s="39" t="inlineStr">
        <is>
          <t>TC_ENG</t>
        </is>
      </c>
      <c r="Q28" s="160" t="n">
        <v>40.9775</v>
      </c>
      <c r="R28" s="161" t="n">
        <v>1.1236</v>
      </c>
      <c r="S28" s="140" t="n">
        <v>0.3397</v>
      </c>
      <c r="T28" s="161" t="n">
        <v>0.2285</v>
      </c>
      <c r="U28" s="140" t="n">
        <v>19.7021</v>
      </c>
      <c r="V28" s="162" t="n">
        <v>23.9775</v>
      </c>
      <c r="W28" s="163" t="n">
        <v>0.1864</v>
      </c>
      <c r="X28" s="163">
        <f>IF(OR(T28="",M28=""),"",ABS(T28-M28))</f>
        <v/>
      </c>
      <c r="Y28" s="39" t="b">
        <v>0</v>
      </c>
      <c r="Z28" s="39" t="b">
        <v>0</v>
      </c>
      <c r="AA28" s="39" t="b">
        <v>1</v>
      </c>
      <c r="AB28" s="39" t="n">
        <v>3</v>
      </c>
      <c r="AC28" s="39" t="inlineStr">
        <is>
          <t>A</t>
        </is>
      </c>
      <c r="AD28" s="39" t="str"/>
      <c r="AE28" s="39" t="inlineStr">
        <is>
          <t>Compare only if FFV definition/protocol is matched.</t>
        </is>
      </c>
      <c r="AF28" s="39" t="inlineStr">
        <is>
          <t>Compare only if MW/chain length/state/solvent are matched.</t>
        </is>
      </c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9" t="inlineStr">
        <is>
          <t>Poly(vinyl alcohol)</t>
        </is>
      </c>
      <c r="B29" s="39" t="inlineStr">
        <is>
          <t>PVA</t>
        </is>
      </c>
      <c r="C29" s="39" t="inlineStr">
        <is>
          <t>*CC(O)*</t>
        </is>
      </c>
      <c r="D29" s="39" t="inlineStr">
        <is>
          <t>High</t>
        </is>
      </c>
      <c r="E29" s="158" t="n">
        <v>85</v>
      </c>
      <c r="F29" s="158" t="n">
        <v>85</v>
      </c>
      <c r="G29" s="158" t="n">
        <v>85</v>
      </c>
      <c r="H29" s="39" t="inlineStr">
        <is>
          <t>MERCK_TG</t>
        </is>
      </c>
      <c r="I29" s="159" t="n"/>
      <c r="J29" s="159" t="n"/>
      <c r="K29" s="159" t="n"/>
      <c r="L29" s="39" t="n"/>
      <c r="M29" s="159" t="n">
        <v>0.31</v>
      </c>
      <c r="N29" s="159" t="n">
        <v>0.31</v>
      </c>
      <c r="O29" s="159" t="n">
        <v>0.31</v>
      </c>
      <c r="P29" s="39" t="inlineStr">
        <is>
          <t>TC_REVIEW</t>
        </is>
      </c>
      <c r="Q29" s="160" t="n">
        <v>41.9842</v>
      </c>
      <c r="R29" s="161" t="n">
        <v>1.0838</v>
      </c>
      <c r="S29" s="140" t="n">
        <v>0.3222</v>
      </c>
      <c r="T29" s="161" t="n">
        <v>0.3717</v>
      </c>
      <c r="U29" s="140" t="n">
        <v>21.5842</v>
      </c>
      <c r="V29" s="162" t="n">
        <v>43.0158</v>
      </c>
      <c r="W29" s="163">
        <f>IF(OR(R29="",I29=""),"",ABS(R29-I29))</f>
        <v/>
      </c>
      <c r="X29" s="163" t="n">
        <v>0.0617</v>
      </c>
      <c r="Y29" s="39" t="b">
        <v>0</v>
      </c>
      <c r="Z29" s="39">
        <f>IF(R29="","",IF(AND(R29&gt;=J29,R29&lt;=K29),"PASS","FAIL"))</f>
        <v/>
      </c>
      <c r="AA29" s="39" t="b">
        <v>0</v>
      </c>
      <c r="AB29" s="39" t="n">
        <v>2</v>
      </c>
      <c r="AC29" s="39" t="inlineStr">
        <is>
          <t>B</t>
        </is>
      </c>
      <c r="AD29" s="39" t="str"/>
      <c r="AE29" s="39" t="inlineStr">
        <is>
          <t>Compare only if FFV definition/protocol is matched.</t>
        </is>
      </c>
      <c r="AF29" s="39" t="inlineStr">
        <is>
          <t>Compare only if MW/chain length/state/solvent are matched.</t>
        </is>
      </c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9" t="inlineStr">
        <is>
          <t>Poly(vinyl chloride)</t>
        </is>
      </c>
      <c r="B30" s="39" t="inlineStr">
        <is>
          <t>PVC</t>
        </is>
      </c>
      <c r="C30" s="39" t="inlineStr">
        <is>
          <t>*CC(Cl)*</t>
        </is>
      </c>
      <c r="D30" s="39" t="inlineStr">
        <is>
          <t>High</t>
        </is>
      </c>
      <c r="E30" s="158" t="n">
        <v>80</v>
      </c>
      <c r="F30" s="158" t="n">
        <v>80</v>
      </c>
      <c r="G30" s="158" t="n">
        <v>80</v>
      </c>
      <c r="H30" s="39" t="inlineStr">
        <is>
          <t>PLASTICS_BOOK</t>
        </is>
      </c>
      <c r="I30" s="159" t="n">
        <v>1.41</v>
      </c>
      <c r="J30" s="159" t="n">
        <v>1.41</v>
      </c>
      <c r="K30" s="159" t="n">
        <v>1.41</v>
      </c>
      <c r="L30" s="39" t="inlineStr">
        <is>
          <t>PLASTICS_BOOK</t>
        </is>
      </c>
      <c r="M30" s="159" t="n"/>
      <c r="N30" s="159" t="n">
        <v>0.15</v>
      </c>
      <c r="O30" s="159" t="n">
        <v>0.21</v>
      </c>
      <c r="P30" s="39" t="inlineStr">
        <is>
          <t>TC_ENG</t>
        </is>
      </c>
      <c r="Q30" s="160" t="n">
        <v>21.7729</v>
      </c>
      <c r="R30" s="161" t="n">
        <v>1.2446</v>
      </c>
      <c r="S30" s="140" t="n">
        <v>0.3816</v>
      </c>
      <c r="T30" s="161" t="n">
        <v>0.1644</v>
      </c>
      <c r="U30" s="140" t="n">
        <v>20.5076</v>
      </c>
      <c r="V30" s="162" t="n">
        <v>58.2271</v>
      </c>
      <c r="W30" s="163" t="n">
        <v>0.1654</v>
      </c>
      <c r="X30" s="163">
        <f>IF(OR(T30="",M30=""),"",ABS(T30-M30))</f>
        <v/>
      </c>
      <c r="Y30" s="39" t="b">
        <v>0</v>
      </c>
      <c r="Z30" s="39" t="b">
        <v>0</v>
      </c>
      <c r="AA30" s="39" t="b">
        <v>1</v>
      </c>
      <c r="AB30" s="39" t="n">
        <v>3</v>
      </c>
      <c r="AC30" s="39" t="inlineStr">
        <is>
          <t>A</t>
        </is>
      </c>
      <c r="AD30" s="39" t="str"/>
      <c r="AE30" s="39" t="inlineStr">
        <is>
          <t>Compare only if FFV definition/protocol is matched.</t>
        </is>
      </c>
      <c r="AF30" s="39" t="inlineStr">
        <is>
          <t>Compare only if MW/chain length/state/solvent are matched.</t>
        </is>
      </c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9" t="inlineStr">
        <is>
          <t>Poly(vinylidene chloride)</t>
        </is>
      </c>
      <c r="B31" s="39" t="inlineStr">
        <is>
          <t>PVDC</t>
        </is>
      </c>
      <c r="C31" s="39" t="inlineStr">
        <is>
          <t>*CC(Cl)(Cl)*</t>
        </is>
      </c>
      <c r="D31" s="39" t="str"/>
      <c r="E31" s="158" t="n">
        <v>-18</v>
      </c>
      <c r="F31" s="158" t="n">
        <v>-18</v>
      </c>
      <c r="G31" s="158" t="n">
        <v>-18</v>
      </c>
      <c r="H31" s="39" t="inlineStr">
        <is>
          <t>PLASTICS_BOOK</t>
        </is>
      </c>
      <c r="I31" s="159" t="n">
        <v>1.75</v>
      </c>
      <c r="J31" s="159" t="n">
        <v>1.75</v>
      </c>
      <c r="K31" s="159" t="n">
        <v>1.75</v>
      </c>
      <c r="L31" s="39" t="inlineStr">
        <is>
          <t>PLASTICS_BOOK</t>
        </is>
      </c>
      <c r="M31" s="159" t="n"/>
      <c r="N31" s="159" t="n"/>
      <c r="O31" s="159" t="n"/>
      <c r="P31" s="39" t="n"/>
      <c r="Q31" s="160" t="n">
        <v>40.6771</v>
      </c>
      <c r="R31" s="161" t="n">
        <v>1.4171</v>
      </c>
      <c r="S31" s="140" t="n">
        <v>0.3747</v>
      </c>
      <c r="T31" s="161" t="n">
        <v>0.112</v>
      </c>
      <c r="U31" s="140" t="n">
        <v>19.9037</v>
      </c>
      <c r="V31" s="162" t="n">
        <v>58.6771</v>
      </c>
      <c r="W31" s="163" t="n">
        <v>0.3329</v>
      </c>
      <c r="X31" s="163">
        <f>IF(OR(T31="",M31=""),"",ABS(T31-M31))</f>
        <v/>
      </c>
      <c r="Y31" s="39" t="b">
        <v>0</v>
      </c>
      <c r="Z31" s="39" t="b">
        <v>0</v>
      </c>
      <c r="AA31" s="39">
        <f>IF(T31="","",IF(AND(T31&gt;=N31,T31&lt;=O31),"PASS","FAIL"))</f>
        <v/>
      </c>
      <c r="AB31" s="39" t="n">
        <v>2</v>
      </c>
      <c r="AC31" s="39" t="inlineStr">
        <is>
          <t>B</t>
        </is>
      </c>
      <c r="AD31" s="39" t="str"/>
      <c r="AE31" s="39" t="inlineStr">
        <is>
          <t>Compare only if FFV definition/protocol is matched.</t>
        </is>
      </c>
      <c r="AF31" s="39" t="inlineStr">
        <is>
          <t>Compare only if MW/chain length/state/solvent are matched.</t>
        </is>
      </c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9" t="inlineStr">
        <is>
          <t>Poly(vinylidene fluoride)</t>
        </is>
      </c>
      <c r="B32" s="39" t="inlineStr">
        <is>
          <t>PVDF</t>
        </is>
      </c>
      <c r="C32" s="39" t="inlineStr">
        <is>
          <t>*CC(F)(F)*</t>
        </is>
      </c>
      <c r="D32" s="39" t="str"/>
      <c r="E32" s="158" t="n">
        <v>-40</v>
      </c>
      <c r="F32" s="158" t="n">
        <v>-40</v>
      </c>
      <c r="G32" s="158" t="n">
        <v>-40</v>
      </c>
      <c r="H32" s="39" t="inlineStr">
        <is>
          <t>MERCK_TG</t>
        </is>
      </c>
      <c r="I32" s="159" t="n">
        <v>1.78</v>
      </c>
      <c r="J32" s="159" t="n">
        <v>1.76</v>
      </c>
      <c r="K32" s="159" t="n">
        <v>1.78</v>
      </c>
      <c r="L32" s="39" t="inlineStr">
        <is>
          <t>TC_ENG</t>
        </is>
      </c>
      <c r="M32" s="159" t="n"/>
      <c r="N32" s="159" t="n">
        <v>0.1</v>
      </c>
      <c r="O32" s="159" t="n">
        <v>0.13</v>
      </c>
      <c r="P32" s="39" t="inlineStr">
        <is>
          <t>TC_ENG</t>
        </is>
      </c>
      <c r="Q32" s="160" t="n">
        <v>1.7133</v>
      </c>
      <c r="R32" s="161" t="n">
        <v>1.2645</v>
      </c>
      <c r="S32" s="140" t="n">
        <v>0.3344</v>
      </c>
      <c r="T32" s="161" t="n">
        <v>0.1877</v>
      </c>
      <c r="U32" s="140" t="n">
        <v>21.3563</v>
      </c>
      <c r="V32" s="162" t="n">
        <v>41.7133</v>
      </c>
      <c r="W32" s="163" t="n">
        <v>0.5155</v>
      </c>
      <c r="X32" s="163">
        <f>IF(OR(T32="",M32=""),"",ABS(T32-M32))</f>
        <v/>
      </c>
      <c r="Y32" s="39" t="b">
        <v>0</v>
      </c>
      <c r="Z32" s="39" t="b">
        <v>0</v>
      </c>
      <c r="AA32" s="39" t="b">
        <v>0</v>
      </c>
      <c r="AB32" s="39" t="n">
        <v>3</v>
      </c>
      <c r="AC32" s="39" t="inlineStr">
        <is>
          <t>A</t>
        </is>
      </c>
      <c r="AD32" s="39" t="str"/>
      <c r="AE32" s="39" t="inlineStr">
        <is>
          <t>Compare only if FFV definition/protocol is matched.</t>
        </is>
      </c>
      <c r="AF32" s="39" t="inlineStr">
        <is>
          <t>Compare only if MW/chain length/state/solvent are matched.</t>
        </is>
      </c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9" t="inlineStr">
        <is>
          <t>High-cis 1,4-polybutadiene / BR</t>
        </is>
      </c>
      <c r="B33" s="39" t="inlineStr">
        <is>
          <t>PB/BR</t>
        </is>
      </c>
      <c r="C33" s="39" t="inlineStr">
        <is>
          <t>*CC=CC*</t>
        </is>
      </c>
      <c r="D33" s="39" t="inlineStr">
        <is>
          <t>High</t>
        </is>
      </c>
      <c r="E33" s="158" t="n">
        <v>-107</v>
      </c>
      <c r="F33" s="158" t="n">
        <v>-107</v>
      </c>
      <c r="G33" s="158" t="n">
        <v>-107</v>
      </c>
      <c r="H33" s="39" t="inlineStr">
        <is>
          <t>RUBBER_PALS</t>
        </is>
      </c>
      <c r="I33" s="159" t="n">
        <v>0.93</v>
      </c>
      <c r="J33" s="159" t="n">
        <v>0.93</v>
      </c>
      <c r="K33" s="159" t="n">
        <v>0.93</v>
      </c>
      <c r="L33" s="39" t="inlineStr">
        <is>
          <t>RUBBER_PALS</t>
        </is>
      </c>
      <c r="M33" s="159" t="n">
        <v>0.174</v>
      </c>
      <c r="N33" s="159" t="n">
        <v>0.174</v>
      </c>
      <c r="O33" s="159" t="n">
        <v>0.19</v>
      </c>
      <c r="P33" s="39" t="inlineStr">
        <is>
          <t>RUBBER_TC</t>
        </is>
      </c>
      <c r="Q33" s="160" t="n">
        <v>-34.7298</v>
      </c>
      <c r="R33" s="161" t="n">
        <v>0.8331</v>
      </c>
      <c r="S33" s="140" t="n">
        <v>0.416</v>
      </c>
      <c r="T33" s="161" t="n">
        <v>0.2731</v>
      </c>
      <c r="U33" s="140" t="n">
        <v>19.5628</v>
      </c>
      <c r="V33" s="162" t="n">
        <v>72.2702</v>
      </c>
      <c r="W33" s="163" t="n">
        <v>0.0969</v>
      </c>
      <c r="X33" s="163" t="n">
        <v>0.09909999999999999</v>
      </c>
      <c r="Y33" s="39" t="b">
        <v>0</v>
      </c>
      <c r="Z33" s="39" t="b">
        <v>0</v>
      </c>
      <c r="AA33" s="39" t="b">
        <v>0</v>
      </c>
      <c r="AB33" s="39" t="n">
        <v>3</v>
      </c>
      <c r="AC33" s="39" t="inlineStr">
        <is>
          <t>A</t>
        </is>
      </c>
      <c r="AD33" s="39" t="inlineStr">
        <is>
          <t>Tg/density from cured high-cis PB; Tc from untreated PB. Strong tire relevance.</t>
        </is>
      </c>
      <c r="AE33" s="39" t="inlineStr">
        <is>
          <t>Compare only if FFV definition/protocol is matched.</t>
        </is>
      </c>
      <c r="AF33" s="39" t="inlineStr">
        <is>
          <t>Compare only if MW/chain length/state/solvent are matched.</t>
        </is>
      </c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9" t="inlineStr">
        <is>
          <t>Polyoxymethylene</t>
        </is>
      </c>
      <c r="B34" s="39" t="inlineStr">
        <is>
          <t>POM</t>
        </is>
      </c>
      <c r="C34" s="39" t="inlineStr">
        <is>
          <t>*CO*</t>
        </is>
      </c>
      <c r="D34" s="39" t="str"/>
      <c r="E34" s="158" t="n">
        <v>-85</v>
      </c>
      <c r="F34" s="158" t="n">
        <v>-85</v>
      </c>
      <c r="G34" s="158" t="n">
        <v>-85</v>
      </c>
      <c r="H34" s="39" t="inlineStr">
        <is>
          <t>PLASTICS_BOOK</t>
        </is>
      </c>
      <c r="I34" s="159" t="n">
        <v>1.41</v>
      </c>
      <c r="J34" s="159" t="n">
        <v>1.41</v>
      </c>
      <c r="K34" s="159" t="n">
        <v>1.42</v>
      </c>
      <c r="L34" s="39" t="inlineStr">
        <is>
          <t>PLASTICS_BOOK</t>
        </is>
      </c>
      <c r="M34" s="159" t="n"/>
      <c r="N34" s="159" t="n">
        <v>0.23</v>
      </c>
      <c r="O34" s="159" t="n">
        <v>0.3</v>
      </c>
      <c r="P34" s="39" t="inlineStr">
        <is>
          <t>TC_ENG</t>
        </is>
      </c>
      <c r="Q34" s="160" t="n">
        <v>26.6784</v>
      </c>
      <c r="R34" s="161" t="n">
        <v>1.201</v>
      </c>
      <c r="S34" s="140" t="n">
        <v>0.3583</v>
      </c>
      <c r="T34" s="161" t="n">
        <v>0.2546</v>
      </c>
      <c r="U34" s="140" t="n">
        <v>21.3496</v>
      </c>
      <c r="V34" s="162" t="n">
        <v>111.6784</v>
      </c>
      <c r="W34" s="163" t="n">
        <v>0.209</v>
      </c>
      <c r="X34" s="163">
        <f>IF(OR(T34="",M34=""),"",ABS(T34-M34))</f>
        <v/>
      </c>
      <c r="Y34" s="39" t="b">
        <v>0</v>
      </c>
      <c r="Z34" s="39" t="b">
        <v>0</v>
      </c>
      <c r="AA34" s="39" t="b">
        <v>1</v>
      </c>
      <c r="AB34" s="39" t="n">
        <v>3</v>
      </c>
      <c r="AC34" s="39" t="inlineStr">
        <is>
          <t>A</t>
        </is>
      </c>
      <c r="AD34" s="39" t="str"/>
      <c r="AE34" s="39" t="inlineStr">
        <is>
          <t>Compare only if FFV definition/protocol is matched.</t>
        </is>
      </c>
      <c r="AF34" s="39" t="inlineStr">
        <is>
          <t>Compare only if MW/chain length/state/solvent are matched.</t>
        </is>
      </c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9" t="inlineStr">
        <is>
          <t>Polylactic acid</t>
        </is>
      </c>
      <c r="B35" s="39" t="inlineStr">
        <is>
          <t>PLA</t>
        </is>
      </c>
      <c r="C35" s="39" t="inlineStr">
        <is>
          <t>*OC(C)C(=O)*</t>
        </is>
      </c>
      <c r="D35" s="39" t="str"/>
      <c r="E35" s="158" t="n">
        <v>61.85</v>
      </c>
      <c r="F35" s="158" t="n">
        <v>61.85</v>
      </c>
      <c r="G35" s="158" t="n">
        <v>61.85</v>
      </c>
      <c r="H35" s="39" t="inlineStr">
        <is>
          <t>MERCK_TG</t>
        </is>
      </c>
      <c r="I35" s="159" t="n"/>
      <c r="J35" s="159" t="n"/>
      <c r="K35" s="159" t="n"/>
      <c r="L35" s="39" t="n"/>
      <c r="M35" s="159" t="n"/>
      <c r="N35" s="159" t="n">
        <v>0.064</v>
      </c>
      <c r="O35" s="159" t="n">
        <v>0.09</v>
      </c>
      <c r="P35" s="39" t="inlineStr">
        <is>
          <t>TC_REVIEW</t>
        </is>
      </c>
      <c r="Q35" s="160" t="n">
        <v>103.2977</v>
      </c>
      <c r="R35" s="161" t="n">
        <v>1.0843</v>
      </c>
      <c r="S35" s="140" t="n">
        <v>0.3532</v>
      </c>
      <c r="T35" s="161" t="n">
        <v>0.1865</v>
      </c>
      <c r="U35" s="140" t="n">
        <v>18.4816</v>
      </c>
      <c r="V35" s="162" t="n">
        <v>41.4477</v>
      </c>
      <c r="W35" s="163">
        <f>IF(OR(R35="",I35=""),"",ABS(R35-I35))</f>
        <v/>
      </c>
      <c r="X35" s="163">
        <f>IF(OR(T35="",M35=""),"",ABS(T35-M35))</f>
        <v/>
      </c>
      <c r="Y35" s="39" t="b">
        <v>0</v>
      </c>
      <c r="Z35" s="39">
        <f>IF(R35="","",IF(AND(R35&gt;=J35,R35&lt;=K35),"PASS","FAIL"))</f>
        <v/>
      </c>
      <c r="AA35" s="39" t="b">
        <v>0</v>
      </c>
      <c r="AB35" s="39" t="n">
        <v>2</v>
      </c>
      <c r="AC35" s="39" t="inlineStr">
        <is>
          <t>B</t>
        </is>
      </c>
      <c r="AD35" s="39" t="inlineStr">
        <is>
          <t>Tc literature range in 2024 review.</t>
        </is>
      </c>
      <c r="AE35" s="39" t="inlineStr">
        <is>
          <t>Compare only if FFV definition/protocol is matched.</t>
        </is>
      </c>
      <c r="AF35" s="39" t="inlineStr">
        <is>
          <t>Compare only if MW/chain length/state/solvent are matched.</t>
        </is>
      </c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1">
    <mergeCell ref="A1:AF2"/>
  </mergeCells>
  <conditionalFormatting sqref="Y5:AA35">
    <cfRule type="expression" priority="1" dxfId="4">
      <formula>Y5="PASS"</formula>
    </cfRule>
    <cfRule type="expression" priority="2" dxfId="2">
      <formula>Y5="FAIL"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2" customWidth="1" min="4" max="4"/>
    <col width="10" customWidth="1" min="5" max="5"/>
    <col width="52" customWidth="1" min="6" max="6"/>
    <col width="13" customWidth="1" min="7" max="7"/>
    <col width="14" customWidth="1" min="8" max="8"/>
    <col width="16" customWidth="1" min="9" max="9"/>
    <col width="30" customWidth="1" min="10" max="10"/>
    <col width="14" customWidth="1" min="11" max="11"/>
    <col width="22" customWidth="1" min="12" max="12"/>
    <col width="14" customWidth="1" min="13" max="13"/>
    <col width="48" customWidth="1" min="14" max="14"/>
  </cols>
  <sheetData>
    <row r="1">
      <c r="A1" s="150" t="inlineStr">
        <is>
          <t>FFV / PALS / Rg Conditioned Measurements — DO NOT compare blindly to AI outputs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149" t="inlineStr">
        <is>
          <t>Type</t>
        </is>
      </c>
      <c r="B4" s="149" t="inlineStr">
        <is>
          <t>Polymer</t>
        </is>
      </c>
      <c r="C4" s="149" t="inlineStr">
        <is>
          <t>Repeat_SMILES</t>
        </is>
      </c>
      <c r="D4" s="149" t="inlineStr">
        <is>
          <t>Value</t>
        </is>
      </c>
      <c r="E4" s="149" t="inlineStr">
        <is>
          <t>Unit</t>
        </is>
      </c>
      <c r="F4" s="149" t="inlineStr">
        <is>
          <t>Definition_or_Method</t>
        </is>
      </c>
      <c r="G4" s="149" t="inlineStr">
        <is>
          <t>Tg_K_if_relevant</t>
        </is>
      </c>
      <c r="H4" s="149" t="inlineStr">
        <is>
          <t>Mw_g_mol</t>
        </is>
      </c>
      <c r="I4" s="149" t="inlineStr">
        <is>
          <t>Degree_of_Polymerization</t>
        </is>
      </c>
      <c r="J4" s="149" t="inlineStr">
        <is>
          <t>Condition</t>
        </is>
      </c>
      <c r="K4" s="149" t="inlineStr">
        <is>
          <t>Extra</t>
        </is>
      </c>
      <c r="L4" s="149" t="inlineStr">
        <is>
          <t>Directly_Comparable_to_AI?</t>
        </is>
      </c>
      <c r="M4" s="149" t="inlineStr">
        <is>
          <t>Source_ID</t>
        </is>
      </c>
      <c r="N4" s="149" t="inlineStr">
        <is>
          <t>Interpretation</t>
        </is>
      </c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39" t="inlineStr">
        <is>
          <t>FFV</t>
        </is>
      </c>
      <c r="B5" s="39" t="inlineStr">
        <is>
          <t>PDMS</t>
        </is>
      </c>
      <c r="C5" s="39" t="inlineStr">
        <is>
          <t>*O[Si](C)(C)*</t>
        </is>
      </c>
      <c r="D5" s="39" t="n">
        <v>0.08599999999999999</v>
      </c>
      <c r="E5" s="39" t="inlineStr">
        <is>
          <t>fraction</t>
        </is>
      </c>
      <c r="F5" s="39" t="inlineStr">
        <is>
          <t>Fractional excess free volume at Tg (model from neutron-derived expansion data)</t>
        </is>
      </c>
      <c r="G5" s="39" t="n">
        <v>150</v>
      </c>
      <c r="H5" s="39" t="n"/>
      <c r="I5" s="39" t="n"/>
      <c r="J5" s="39" t="n"/>
      <c r="K5" s="39" t="n"/>
      <c r="L5" s="39" t="inlineStr">
        <is>
          <t>NO</t>
        </is>
      </c>
      <c r="M5" s="39" t="inlineStr">
        <is>
          <t>FFV_PS</t>
        </is>
      </c>
      <c r="N5" s="39" t="inlineStr">
        <is>
          <t>Different definition/condition: use as mechanistic reference, not a universal target.</t>
        </is>
      </c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39" t="inlineStr">
        <is>
          <t>FFV</t>
        </is>
      </c>
      <c r="B6" s="39" t="inlineStr">
        <is>
          <t>PDMS</t>
        </is>
      </c>
      <c r="C6" s="39" t="inlineStr">
        <is>
          <t>*O[Si](C)(C)*</t>
        </is>
      </c>
      <c r="D6" s="39" t="n">
        <v>0.07099999999999999</v>
      </c>
      <c r="E6" s="39" t="inlineStr">
        <is>
          <t>fraction</t>
        </is>
      </c>
      <c r="F6" s="39" t="inlineStr">
        <is>
          <t>WLF literature fractional excess free volume at Tg</t>
        </is>
      </c>
      <c r="G6" s="39" t="n">
        <v>150</v>
      </c>
      <c r="H6" s="39" t="n"/>
      <c r="I6" s="39" t="n"/>
      <c r="J6" s="39" t="n"/>
      <c r="K6" s="39" t="n"/>
      <c r="L6" s="39" t="inlineStr">
        <is>
          <t>NO</t>
        </is>
      </c>
      <c r="M6" s="39" t="inlineStr">
        <is>
          <t>FFV_PS</t>
        </is>
      </c>
      <c r="N6" s="39" t="inlineStr">
        <is>
          <t>Different definition/condition: use as mechanistic reference, not a universal target.</t>
        </is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39" t="inlineStr">
        <is>
          <t>FFV</t>
        </is>
      </c>
      <c r="B7" s="39" t="inlineStr">
        <is>
          <t>PB</t>
        </is>
      </c>
      <c r="C7" s="39" t="inlineStr">
        <is>
          <t>*CC=CC*</t>
        </is>
      </c>
      <c r="D7" s="39" t="n">
        <v>0.012</v>
      </c>
      <c r="E7" s="39" t="inlineStr">
        <is>
          <t>fraction</t>
        </is>
      </c>
      <c r="F7" s="39" t="inlineStr">
        <is>
          <t>Fractional excess free volume at Tg</t>
        </is>
      </c>
      <c r="G7" s="39" t="n">
        <v>172</v>
      </c>
      <c r="H7" s="39" t="n"/>
      <c r="I7" s="39" t="n"/>
      <c r="J7" s="39" t="n"/>
      <c r="K7" s="39" t="n"/>
      <c r="L7" s="39" t="inlineStr">
        <is>
          <t>NO</t>
        </is>
      </c>
      <c r="M7" s="39" t="inlineStr">
        <is>
          <t>FFV_PS</t>
        </is>
      </c>
      <c r="N7" s="39" t="inlineStr">
        <is>
          <t>Different definition/condition: use as mechanistic reference, not a universal target.</t>
        </is>
      </c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39" t="inlineStr">
        <is>
          <t>FFV</t>
        </is>
      </c>
      <c r="B8" s="39" t="inlineStr">
        <is>
          <t>PB</t>
        </is>
      </c>
      <c r="C8" s="39" t="inlineStr">
        <is>
          <t>*CC=CC*</t>
        </is>
      </c>
      <c r="D8" s="39" t="n">
        <v>0.038</v>
      </c>
      <c r="E8" s="39" t="inlineStr">
        <is>
          <t>fraction</t>
        </is>
      </c>
      <c r="F8" s="39" t="inlineStr">
        <is>
          <t>WLF literature fractional excess free volume at Tg</t>
        </is>
      </c>
      <c r="G8" s="39" t="n">
        <v>172</v>
      </c>
      <c r="H8" s="39" t="n"/>
      <c r="I8" s="39" t="n"/>
      <c r="J8" s="39" t="n"/>
      <c r="K8" s="39" t="n"/>
      <c r="L8" s="39" t="inlineStr">
        <is>
          <t>NO</t>
        </is>
      </c>
      <c r="M8" s="39" t="inlineStr">
        <is>
          <t>FFV_PS</t>
        </is>
      </c>
      <c r="N8" s="39" t="inlineStr">
        <is>
          <t>Different definition/condition: use as mechanistic reference, not a universal target.</t>
        </is>
      </c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39" t="inlineStr">
        <is>
          <t>FFV</t>
        </is>
      </c>
      <c r="B9" s="39" t="inlineStr">
        <is>
          <t>PIB</t>
        </is>
      </c>
      <c r="C9" s="39" t="inlineStr">
        <is>
          <t>*CC(C)(C)*</t>
        </is>
      </c>
      <c r="D9" s="39" t="n">
        <v>0.117</v>
      </c>
      <c r="E9" s="39" t="inlineStr">
        <is>
          <t>fraction</t>
        </is>
      </c>
      <c r="F9" s="39" t="inlineStr">
        <is>
          <t>Fractional excess free volume at Tg</t>
        </is>
      </c>
      <c r="G9" s="39" t="n">
        <v>205</v>
      </c>
      <c r="H9" s="39" t="n"/>
      <c r="I9" s="39" t="n"/>
      <c r="J9" s="39" t="n"/>
      <c r="K9" s="39" t="n"/>
      <c r="L9" s="39" t="inlineStr">
        <is>
          <t>NO</t>
        </is>
      </c>
      <c r="M9" s="39" t="inlineStr">
        <is>
          <t>FFV_PS</t>
        </is>
      </c>
      <c r="N9" s="39" t="inlineStr">
        <is>
          <t>Different definition/condition: use as mechanistic reference, not a universal target.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39" t="inlineStr">
        <is>
          <t>FFV</t>
        </is>
      </c>
      <c r="B10" s="39" t="inlineStr">
        <is>
          <t>PIB</t>
        </is>
      </c>
      <c r="C10" s="39" t="inlineStr">
        <is>
          <t>*CC(C)(C)*</t>
        </is>
      </c>
      <c r="D10" s="39" t="n">
        <v>0.026</v>
      </c>
      <c r="E10" s="39" t="inlineStr">
        <is>
          <t>fraction</t>
        </is>
      </c>
      <c r="F10" s="39" t="inlineStr">
        <is>
          <t>WLF literature fractional excess free volume at Tg</t>
        </is>
      </c>
      <c r="G10" s="39" t="n">
        <v>205</v>
      </c>
      <c r="H10" s="39" t="n"/>
      <c r="I10" s="39" t="n"/>
      <c r="J10" s="39" t="n"/>
      <c r="K10" s="39" t="n"/>
      <c r="L10" s="39" t="inlineStr">
        <is>
          <t>NO</t>
        </is>
      </c>
      <c r="M10" s="39" t="inlineStr">
        <is>
          <t>FFV_PS</t>
        </is>
      </c>
      <c r="N10" s="39" t="inlineStr">
        <is>
          <t>Different definition/condition: use as mechanistic reference, not a universal target.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39" t="inlineStr">
        <is>
          <t>FFV</t>
        </is>
      </c>
      <c r="B11" s="39" t="inlineStr">
        <is>
          <t>PVAc</t>
        </is>
      </c>
      <c r="C11" s="39" t="inlineStr">
        <is>
          <t>*CC(OC(=O)C)*</t>
        </is>
      </c>
      <c r="D11" s="39" t="n">
        <v>0.08599999999999999</v>
      </c>
      <c r="E11" s="39" t="inlineStr">
        <is>
          <t>fraction</t>
        </is>
      </c>
      <c r="F11" s="39" t="inlineStr">
        <is>
          <t>Fractional excess free volume at Tg</t>
        </is>
      </c>
      <c r="G11" s="39" t="n">
        <v>305</v>
      </c>
      <c r="H11" s="39" t="n"/>
      <c r="I11" s="39" t="n"/>
      <c r="J11" s="39" t="n"/>
      <c r="K11" s="39" t="n"/>
      <c r="L11" s="39" t="inlineStr">
        <is>
          <t>NO</t>
        </is>
      </c>
      <c r="M11" s="39" t="inlineStr">
        <is>
          <t>FFV_PS</t>
        </is>
      </c>
      <c r="N11" s="39" t="inlineStr">
        <is>
          <t>Different definition/condition: use as mechanistic reference, not a universal target.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39" t="inlineStr">
        <is>
          <t>FFV</t>
        </is>
      </c>
      <c r="B12" s="39" t="inlineStr">
        <is>
          <t>PVAc</t>
        </is>
      </c>
      <c r="C12" s="39" t="inlineStr">
        <is>
          <t>*CC(OC(=O)C)*</t>
        </is>
      </c>
      <c r="D12" s="39" t="n">
        <v>0.028</v>
      </c>
      <c r="E12" s="39" t="inlineStr">
        <is>
          <t>fraction</t>
        </is>
      </c>
      <c r="F12" s="39" t="inlineStr">
        <is>
          <t>WLF literature fractional excess free volume at Tg</t>
        </is>
      </c>
      <c r="G12" s="39" t="n">
        <v>305</v>
      </c>
      <c r="H12" s="39" t="n"/>
      <c r="I12" s="39" t="n"/>
      <c r="J12" s="39" t="n"/>
      <c r="K12" s="39" t="n"/>
      <c r="L12" s="39" t="inlineStr">
        <is>
          <t>NO</t>
        </is>
      </c>
      <c r="M12" s="39" t="inlineStr">
        <is>
          <t>FFV_PS</t>
        </is>
      </c>
      <c r="N12" s="39" t="inlineStr">
        <is>
          <t>Different definition/condition: use as mechanistic reference, not a universal target.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39" t="inlineStr">
        <is>
          <t>FFV</t>
        </is>
      </c>
      <c r="B13" s="39" t="inlineStr">
        <is>
          <t>PMMA</t>
        </is>
      </c>
      <c r="C13" s="39" t="inlineStr">
        <is>
          <t>*CC(C)(C(=O)OC)*</t>
        </is>
      </c>
      <c r="D13" s="39" t="n">
        <v>0.055</v>
      </c>
      <c r="E13" s="39" t="inlineStr">
        <is>
          <t>fraction</t>
        </is>
      </c>
      <c r="F13" s="39" t="inlineStr">
        <is>
          <t>Fractional excess free volume at Tg</t>
        </is>
      </c>
      <c r="G13" s="39" t="n">
        <v>381</v>
      </c>
      <c r="H13" s="39" t="n"/>
      <c r="I13" s="39" t="n"/>
      <c r="J13" s="39" t="n"/>
      <c r="K13" s="39" t="n"/>
      <c r="L13" s="39" t="inlineStr">
        <is>
          <t>NO</t>
        </is>
      </c>
      <c r="M13" s="39" t="inlineStr">
        <is>
          <t>FFV_PS</t>
        </is>
      </c>
      <c r="N13" s="39" t="inlineStr">
        <is>
          <t>Different definition/condition: use as mechanistic reference, not a universal target.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39" t="inlineStr">
        <is>
          <t>FFV</t>
        </is>
      </c>
      <c r="B14" s="39" t="inlineStr">
        <is>
          <t>PMMA</t>
        </is>
      </c>
      <c r="C14" s="39" t="inlineStr">
        <is>
          <t>*CC(C)(C(=O)OC)*</t>
        </is>
      </c>
      <c r="D14" s="39" t="n">
        <v>0.013</v>
      </c>
      <c r="E14" s="39" t="inlineStr">
        <is>
          <t>fraction</t>
        </is>
      </c>
      <c r="F14" s="39" t="inlineStr">
        <is>
          <t>WLF literature fractional excess free volume at Tg</t>
        </is>
      </c>
      <c r="G14" s="39" t="n">
        <v>381</v>
      </c>
      <c r="H14" s="39" t="n"/>
      <c r="I14" s="39" t="n"/>
      <c r="J14" s="39" t="n"/>
      <c r="K14" s="39" t="n"/>
      <c r="L14" s="39" t="inlineStr">
        <is>
          <t>NO</t>
        </is>
      </c>
      <c r="M14" s="39" t="inlineStr">
        <is>
          <t>FFV_PS</t>
        </is>
      </c>
      <c r="N14" s="39" t="inlineStr">
        <is>
          <t>Different definition/condition: use as mechanistic reference, not a universal target.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39" t="inlineStr">
        <is>
          <t>FFV</t>
        </is>
      </c>
      <c r="B15" s="39" t="inlineStr">
        <is>
          <t>PS</t>
        </is>
      </c>
      <c r="C15" s="39" t="inlineStr">
        <is>
          <t>*CC(c1ccccc1)*</t>
        </is>
      </c>
      <c r="D15" s="39" t="n">
        <v>0.015</v>
      </c>
      <c r="E15" s="39" t="inlineStr">
        <is>
          <t>fraction</t>
        </is>
      </c>
      <c r="F15" s="39" t="inlineStr">
        <is>
          <t>Fractional excess free volume at Tg</t>
        </is>
      </c>
      <c r="G15" s="39" t="n">
        <v>373</v>
      </c>
      <c r="H15" s="39" t="n"/>
      <c r="I15" s="39" t="n"/>
      <c r="J15" s="39" t="n"/>
      <c r="K15" s="39" t="n"/>
      <c r="L15" s="39" t="inlineStr">
        <is>
          <t>NO</t>
        </is>
      </c>
      <c r="M15" s="39" t="inlineStr">
        <is>
          <t>FFV_PS</t>
        </is>
      </c>
      <c r="N15" s="39" t="inlineStr">
        <is>
          <t>Different definition/condition: use as mechanistic reference, not a universal target.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39" t="inlineStr">
        <is>
          <t>FFV</t>
        </is>
      </c>
      <c r="B16" s="39" t="inlineStr">
        <is>
          <t>PS</t>
        </is>
      </c>
      <c r="C16" s="39" t="inlineStr">
        <is>
          <t>*CC(c1ccccc1)*</t>
        </is>
      </c>
      <c r="D16" s="39" t="n">
        <v>0.027</v>
      </c>
      <c r="E16" s="39" t="inlineStr">
        <is>
          <t>fraction</t>
        </is>
      </c>
      <c r="F16" s="39" t="inlineStr">
        <is>
          <t>WLF literature fractional excess free volume at Tg</t>
        </is>
      </c>
      <c r="G16" s="39" t="n">
        <v>373</v>
      </c>
      <c r="H16" s="39" t="n"/>
      <c r="I16" s="39" t="n"/>
      <c r="J16" s="39" t="n"/>
      <c r="K16" s="39" t="n"/>
      <c r="L16" s="39" t="inlineStr">
        <is>
          <t>NO</t>
        </is>
      </c>
      <c r="M16" s="39" t="inlineStr">
        <is>
          <t>FFV_PS</t>
        </is>
      </c>
      <c r="N16" s="39" t="inlineStr">
        <is>
          <t>Different definition/condition: use as mechanistic reference, not a universal target.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39" t="inlineStr">
        <is>
          <t>PALS</t>
        </is>
      </c>
      <c r="B17" s="39" t="inlineStr">
        <is>
          <t>LDPE</t>
        </is>
      </c>
      <c r="C17" s="39" t="inlineStr">
        <is>
          <t>*CC*</t>
        </is>
      </c>
      <c r="D17" s="39" t="n">
        <v>0.33</v>
      </c>
      <c r="E17" s="39" t="inlineStr">
        <is>
          <t>nm</t>
        </is>
      </c>
      <c r="F17" s="39" t="inlineStr">
        <is>
          <t>PALS free-volume-hole radius R3; intensity 21.1%</t>
        </is>
      </c>
      <c r="G17" s="39" t="n"/>
      <c r="H17" s="39" t="n"/>
      <c r="I17" s="39" t="n"/>
      <c r="J17" s="39" t="n"/>
      <c r="K17" s="39" t="n"/>
      <c r="L17" s="39" t="inlineStr">
        <is>
          <t>NO</t>
        </is>
      </c>
      <c r="M17" s="39" t="inlineStr">
        <is>
          <t>PALS_REVIEW</t>
        </is>
      </c>
      <c r="N17" s="39" t="inlineStr">
        <is>
          <t>Different definition/condition: use as mechanistic reference, not a universal target.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39" t="inlineStr">
        <is>
          <t>PALS</t>
        </is>
      </c>
      <c r="B18" s="39" t="inlineStr">
        <is>
          <t>HDPE</t>
        </is>
      </c>
      <c r="C18" s="39" t="inlineStr">
        <is>
          <t>*CC*</t>
        </is>
      </c>
      <c r="D18" s="39" t="n">
        <v>0.32</v>
      </c>
      <c r="E18" s="39" t="inlineStr">
        <is>
          <t>nm</t>
        </is>
      </c>
      <c r="F18" s="39" t="inlineStr">
        <is>
          <t>PALS free-volume-hole radius R3; intensity 19.7%</t>
        </is>
      </c>
      <c r="G18" s="39" t="n"/>
      <c r="H18" s="39" t="n"/>
      <c r="I18" s="39" t="n"/>
      <c r="J18" s="39" t="n"/>
      <c r="K18" s="39" t="n"/>
      <c r="L18" s="39" t="inlineStr">
        <is>
          <t>NO</t>
        </is>
      </c>
      <c r="M18" s="39" t="inlineStr">
        <is>
          <t>PALS_REVIEW</t>
        </is>
      </c>
      <c r="N18" s="39" t="inlineStr">
        <is>
          <t>Different definition/condition: use as mechanistic reference, not a universal target.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39" t="inlineStr">
        <is>
          <t>PALS</t>
        </is>
      </c>
      <c r="B19" s="39" t="inlineStr">
        <is>
          <t>PA6</t>
        </is>
      </c>
      <c r="C19" s="39" t="inlineStr">
        <is>
          <t>*NCCCCCC(=O)*</t>
        </is>
      </c>
      <c r="D19" s="39" t="n">
        <v>0.24</v>
      </c>
      <c r="E19" s="39" t="inlineStr">
        <is>
          <t>nm</t>
        </is>
      </c>
      <c r="F19" s="39" t="inlineStr">
        <is>
          <t>PALS free-volume-hole radius R3; intensity 24.5%</t>
        </is>
      </c>
      <c r="G19" s="39" t="n"/>
      <c r="H19" s="39" t="n"/>
      <c r="I19" s="39" t="n"/>
      <c r="J19" s="39" t="n"/>
      <c r="K19" s="39" t="n"/>
      <c r="L19" s="39" t="inlineStr">
        <is>
          <t>NO</t>
        </is>
      </c>
      <c r="M19" s="39" t="inlineStr">
        <is>
          <t>PALS_REVIEW</t>
        </is>
      </c>
      <c r="N19" s="39" t="inlineStr">
        <is>
          <t>Different definition/condition: use as mechanistic reference, not a universal target.</t>
        </is>
      </c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39" t="inlineStr">
        <is>
          <t>PALS</t>
        </is>
      </c>
      <c r="B20" s="39" t="inlineStr">
        <is>
          <t>PMMA</t>
        </is>
      </c>
      <c r="C20" s="39" t="inlineStr">
        <is>
          <t>*CC(C)(C(=O)OC)*</t>
        </is>
      </c>
      <c r="D20" s="39" t="n">
        <v>0.28</v>
      </c>
      <c r="E20" s="39" t="inlineStr">
        <is>
          <t>nm</t>
        </is>
      </c>
      <c r="F20" s="39" t="inlineStr">
        <is>
          <t>PALS free-volume-hole radius R3; intensity 23.6%</t>
        </is>
      </c>
      <c r="G20" s="39" t="n"/>
      <c r="H20" s="39" t="n"/>
      <c r="I20" s="39" t="n"/>
      <c r="J20" s="39" t="n"/>
      <c r="K20" s="39" t="n"/>
      <c r="L20" s="39" t="inlineStr">
        <is>
          <t>NO</t>
        </is>
      </c>
      <c r="M20" s="39" t="inlineStr">
        <is>
          <t>PALS_REVIEW</t>
        </is>
      </c>
      <c r="N20" s="39" t="inlineStr">
        <is>
          <t>Different definition/condition: use as mechanistic reference, not a universal target.</t>
        </is>
      </c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39" t="inlineStr">
        <is>
          <t>PALS</t>
        </is>
      </c>
      <c r="B21" s="39" t="inlineStr">
        <is>
          <t>PET</t>
        </is>
      </c>
      <c r="C21" s="39" t="inlineStr">
        <is>
          <t>*OCCOC(=O)c1ccc(C(=O)*)cc1</t>
        </is>
      </c>
      <c r="D21" s="39" t="n">
        <v>0.25</v>
      </c>
      <c r="E21" s="39" t="inlineStr">
        <is>
          <t>nm</t>
        </is>
      </c>
      <c r="F21" s="39" t="inlineStr">
        <is>
          <t>PALS free-volume-hole radius R3; intensity 20.4%</t>
        </is>
      </c>
      <c r="G21" s="39" t="n"/>
      <c r="H21" s="39" t="n"/>
      <c r="I21" s="39" t="n"/>
      <c r="J21" s="39" t="n"/>
      <c r="K21" s="39" t="n"/>
      <c r="L21" s="39" t="inlineStr">
        <is>
          <t>NO</t>
        </is>
      </c>
      <c r="M21" s="39" t="inlineStr">
        <is>
          <t>PALS_REVIEW</t>
        </is>
      </c>
      <c r="N21" s="39" t="inlineStr">
        <is>
          <t>Different definition/condition: use as mechanistic reference, not a universal target.</t>
        </is>
      </c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39" t="inlineStr">
        <is>
          <t>PALS</t>
        </is>
      </c>
      <c r="B22" s="39" t="inlineStr">
        <is>
          <t>cis-PB</t>
        </is>
      </c>
      <c r="C22" s="39" t="inlineStr">
        <is>
          <t>*CC=CC*</t>
        </is>
      </c>
      <c r="D22" s="39" t="n">
        <v>0.34</v>
      </c>
      <c r="E22" s="39" t="inlineStr">
        <is>
          <t>nm</t>
        </is>
      </c>
      <c r="F22" s="39" t="inlineStr">
        <is>
          <t>PALS free-volume-hole radius R3; intensity 39.45%</t>
        </is>
      </c>
      <c r="G22" s="39" t="n"/>
      <c r="H22" s="39" t="n"/>
      <c r="I22" s="39" t="n"/>
      <c r="J22" s="39" t="n"/>
      <c r="K22" s="39" t="n"/>
      <c r="L22" s="39" t="inlineStr">
        <is>
          <t>NO</t>
        </is>
      </c>
      <c r="M22" s="39" t="inlineStr">
        <is>
          <t>PALS_REVIEW</t>
        </is>
      </c>
      <c r="N22" s="39" t="inlineStr">
        <is>
          <t>Different definition/condition: use as mechanistic reference, not a universal target.</t>
        </is>
      </c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39" t="inlineStr">
        <is>
          <t>PALS</t>
        </is>
      </c>
      <c r="B23" s="39" t="inlineStr">
        <is>
          <t>SBR</t>
        </is>
      </c>
      <c r="C23" s="39" t="inlineStr">
        <is>
          <t>copolymer</t>
        </is>
      </c>
      <c r="D23" s="39" t="n">
        <v>0.33</v>
      </c>
      <c r="E23" s="39" t="inlineStr">
        <is>
          <t>nm</t>
        </is>
      </c>
      <c r="F23" s="39" t="inlineStr">
        <is>
          <t>PALS free-volume-hole radius R3; intensity 34.2%</t>
        </is>
      </c>
      <c r="G23" s="39" t="n"/>
      <c r="H23" s="39" t="n"/>
      <c r="I23" s="39" t="n"/>
      <c r="J23" s="39" t="n"/>
      <c r="K23" s="39" t="n"/>
      <c r="L23" s="39" t="inlineStr">
        <is>
          <t>NO</t>
        </is>
      </c>
      <c r="M23" s="39" t="inlineStr">
        <is>
          <t>PALS_REVIEW</t>
        </is>
      </c>
      <c r="N23" s="39" t="inlineStr">
        <is>
          <t>Different definition/condition: use as mechanistic reference, not a universal target.</t>
        </is>
      </c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39" t="inlineStr">
        <is>
          <t>PALS</t>
        </is>
      </c>
      <c r="B24" s="39" t="inlineStr">
        <is>
          <t>PDMS</t>
        </is>
      </c>
      <c r="C24" s="39" t="inlineStr">
        <is>
          <t>*O[Si](C)(C)*</t>
        </is>
      </c>
      <c r="D24" s="39" t="n">
        <v>0.39</v>
      </c>
      <c r="E24" s="39" t="inlineStr">
        <is>
          <t>nm</t>
        </is>
      </c>
      <c r="F24" s="39" t="inlineStr">
        <is>
          <t>PALS free-volume-hole radius R3; intensity 30.3%</t>
        </is>
      </c>
      <c r="G24" s="39" t="n"/>
      <c r="H24" s="39" t="n"/>
      <c r="I24" s="39" t="n"/>
      <c r="J24" s="39" t="n"/>
      <c r="K24" s="39" t="n"/>
      <c r="L24" s="39" t="inlineStr">
        <is>
          <t>NO</t>
        </is>
      </c>
      <c r="M24" s="39" t="inlineStr">
        <is>
          <t>PALS_REVIEW</t>
        </is>
      </c>
      <c r="N24" s="39" t="inlineStr">
        <is>
          <t>Different definition/condition: use as mechanistic reference, not a universal target.</t>
        </is>
      </c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39" t="inlineStr">
        <is>
          <t>PALS</t>
        </is>
      </c>
      <c r="B25" s="39" t="inlineStr">
        <is>
          <t>PTFE-small</t>
        </is>
      </c>
      <c r="C25" s="39" t="inlineStr">
        <is>
          <t>*C(F)(F)C(F)(F)*</t>
        </is>
      </c>
      <c r="D25" s="39" t="n">
        <v>0.19</v>
      </c>
      <c r="E25" s="39" t="inlineStr">
        <is>
          <t>nm</t>
        </is>
      </c>
      <c r="F25" s="39" t="inlineStr">
        <is>
          <t>PALS free-volume-hole radius R3; intensity 9.6%</t>
        </is>
      </c>
      <c r="G25" s="39" t="n"/>
      <c r="H25" s="39" t="n"/>
      <c r="I25" s="39" t="n"/>
      <c r="J25" s="39" t="n"/>
      <c r="K25" s="39" t="n"/>
      <c r="L25" s="39" t="inlineStr">
        <is>
          <t>NO</t>
        </is>
      </c>
      <c r="M25" s="39" t="inlineStr">
        <is>
          <t>PALS_REVIEW</t>
        </is>
      </c>
      <c r="N25" s="39" t="inlineStr">
        <is>
          <t>Different definition/condition: use as mechanistic reference, not a universal target.</t>
        </is>
      </c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39" t="inlineStr">
        <is>
          <t>PALS</t>
        </is>
      </c>
      <c r="B26" s="39" t="inlineStr">
        <is>
          <t>PTFE-large</t>
        </is>
      </c>
      <c r="C26" s="39" t="inlineStr">
        <is>
          <t>*C(F)(F)C(F)(F)*</t>
        </is>
      </c>
      <c r="D26" s="39" t="n">
        <v>0.43</v>
      </c>
      <c r="E26" s="39" t="inlineStr">
        <is>
          <t>nm</t>
        </is>
      </c>
      <c r="F26" s="39" t="inlineStr">
        <is>
          <t>PALS larger free-volume-hole radius R4; intensity 13.8%</t>
        </is>
      </c>
      <c r="G26" s="39" t="n"/>
      <c r="H26" s="39" t="n"/>
      <c r="I26" s="39" t="n"/>
      <c r="J26" s="39" t="n"/>
      <c r="K26" s="39" t="n"/>
      <c r="L26" s="39" t="inlineStr">
        <is>
          <t>NO</t>
        </is>
      </c>
      <c r="M26" s="39" t="inlineStr">
        <is>
          <t>PALS_REVIEW</t>
        </is>
      </c>
      <c r="N26" s="39" t="inlineStr">
        <is>
          <t>Different definition/condition: use as mechanistic reference, not a universal target.</t>
        </is>
      </c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39" t="inlineStr">
        <is>
          <t>RG</t>
        </is>
      </c>
      <c r="B27" s="39" t="inlineStr">
        <is>
          <t>PS bulk</t>
        </is>
      </c>
      <c r="C27" s="39" t="inlineStr">
        <is>
          <t>*CC(c1ccccc1)*</t>
        </is>
      </c>
      <c r="D27" s="39" t="n">
        <v>90</v>
      </c>
      <c r="E27" s="39" t="inlineStr">
        <is>
          <t>A</t>
        </is>
      </c>
      <c r="F27" s="39" t="inlineStr">
        <is>
          <t>Low-angle neutron scattering bulk polymer</t>
        </is>
      </c>
      <c r="G27" s="39" t="n"/>
      <c r="H27" s="39" t="n">
        <v>97200</v>
      </c>
      <c r="I27" s="39" t="n"/>
      <c r="J27" s="39" t="inlineStr">
        <is>
          <t>bulk solid</t>
        </is>
      </c>
      <c r="K27" s="39" t="n"/>
      <c r="L27" s="39" t="inlineStr">
        <is>
          <t>CONDITIONAL</t>
        </is>
      </c>
      <c r="M27" s="39" t="inlineStr">
        <is>
          <t>RG_PS</t>
        </is>
      </c>
      <c r="N27" s="39" t="inlineStr">
        <is>
          <t>Potentially usable only after matching the AI target protocol/chain length/state.</t>
        </is>
      </c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9" t="inlineStr">
        <is>
          <t>RG</t>
        </is>
      </c>
      <c r="B28" s="39" t="inlineStr">
        <is>
          <t>PS solution 1</t>
        </is>
      </c>
      <c r="C28" s="39" t="inlineStr">
        <is>
          <t>*CC(c1ccccc1)*</t>
        </is>
      </c>
      <c r="D28" s="39" t="n">
        <v>540</v>
      </c>
      <c r="E28" s="39" t="inlineStr">
        <is>
          <t>A</t>
        </is>
      </c>
      <c r="F28" s="39" t="inlineStr">
        <is>
          <t>Static light scattering; good solvent</t>
        </is>
      </c>
      <c r="G28" s="39" t="n"/>
      <c r="H28" s="39" t="n">
        <v>1240000</v>
      </c>
      <c r="I28" s="39" t="n"/>
      <c r="J28" s="39" t="inlineStr">
        <is>
          <t>benzene solution</t>
        </is>
      </c>
      <c r="K28" s="39" t="n"/>
      <c r="L28" s="39" t="inlineStr">
        <is>
          <t>NO</t>
        </is>
      </c>
      <c r="M28" s="39" t="inlineStr">
        <is>
          <t>RG_SLS</t>
        </is>
      </c>
      <c r="N28" s="39" t="inlineStr">
        <is>
          <t>Different definition/condition: use as mechanistic reference, not a universal target.</t>
        </is>
      </c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9" t="inlineStr">
        <is>
          <t>RG</t>
        </is>
      </c>
      <c r="B29" s="39" t="inlineStr">
        <is>
          <t>PS solution 2</t>
        </is>
      </c>
      <c r="C29" s="39" t="inlineStr">
        <is>
          <t>*CC(c1ccccc1)*</t>
        </is>
      </c>
      <c r="D29" s="39" t="n">
        <v>1100</v>
      </c>
      <c r="E29" s="39" t="inlineStr">
        <is>
          <t>A</t>
        </is>
      </c>
      <c r="F29" s="39" t="inlineStr">
        <is>
          <t>Static light scattering; good solvent</t>
        </is>
      </c>
      <c r="G29" s="39" t="n"/>
      <c r="H29" s="39" t="n">
        <v>4000000</v>
      </c>
      <c r="I29" s="39" t="n"/>
      <c r="J29" s="39" t="inlineStr">
        <is>
          <t>benzene solution</t>
        </is>
      </c>
      <c r="K29" s="39" t="n"/>
      <c r="L29" s="39" t="inlineStr">
        <is>
          <t>NO</t>
        </is>
      </c>
      <c r="M29" s="39" t="inlineStr">
        <is>
          <t>RG_SLS</t>
        </is>
      </c>
      <c r="N29" s="39" t="inlineStr">
        <is>
          <t>Different definition/condition: use as mechanistic reference, not a universal target.</t>
        </is>
      </c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9" t="inlineStr">
        <is>
          <t>RG</t>
        </is>
      </c>
      <c r="B30" s="39" t="inlineStr">
        <is>
          <t>PI solution 1</t>
        </is>
      </c>
      <c r="C30" s="39" t="inlineStr">
        <is>
          <t>*CC(C)=CC*</t>
        </is>
      </c>
      <c r="D30" s="39" t="n">
        <v>280</v>
      </c>
      <c r="E30" s="39" t="inlineStr">
        <is>
          <t>A</t>
        </is>
      </c>
      <c r="F30" s="39" t="inlineStr">
        <is>
          <t>Static light scattering; good solvent</t>
        </is>
      </c>
      <c r="G30" s="39" t="n"/>
      <c r="H30" s="39" t="n">
        <v>310000</v>
      </c>
      <c r="I30" s="39" t="n"/>
      <c r="J30" s="39" t="inlineStr">
        <is>
          <t>cyclohexane solution</t>
        </is>
      </c>
      <c r="K30" s="39" t="n"/>
      <c r="L30" s="39" t="inlineStr">
        <is>
          <t>NO</t>
        </is>
      </c>
      <c r="M30" s="39" t="inlineStr">
        <is>
          <t>RG_SLS</t>
        </is>
      </c>
      <c r="N30" s="39" t="inlineStr">
        <is>
          <t>Different definition/condition: use as mechanistic reference, not a universal target.</t>
        </is>
      </c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9" t="inlineStr">
        <is>
          <t>RG</t>
        </is>
      </c>
      <c r="B31" s="39" t="inlineStr">
        <is>
          <t>PI solution 2</t>
        </is>
      </c>
      <c r="C31" s="39" t="inlineStr">
        <is>
          <t>*CC(C)=CC*</t>
        </is>
      </c>
      <c r="D31" s="39" t="n">
        <v>540</v>
      </c>
      <c r="E31" s="39" t="inlineStr">
        <is>
          <t>A</t>
        </is>
      </c>
      <c r="F31" s="39" t="inlineStr">
        <is>
          <t>Static light scattering; good solvent</t>
        </is>
      </c>
      <c r="G31" s="39" t="n"/>
      <c r="H31" s="39" t="n">
        <v>940000</v>
      </c>
      <c r="I31" s="39" t="n"/>
      <c r="J31" s="39" t="inlineStr">
        <is>
          <t>cyclohexane solution</t>
        </is>
      </c>
      <c r="K31" s="39" t="n"/>
      <c r="L31" s="39" t="inlineStr">
        <is>
          <t>NO</t>
        </is>
      </c>
      <c r="M31" s="39" t="inlineStr">
        <is>
          <t>RG_SLS</t>
        </is>
      </c>
      <c r="N31" s="39" t="inlineStr">
        <is>
          <t>Different definition/condition: use as mechanistic reference, not a universal target.</t>
        </is>
      </c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9" t="inlineStr">
        <is>
          <t>RG</t>
        </is>
      </c>
      <c r="B32" s="39" t="inlineStr">
        <is>
          <t>PB solution</t>
        </is>
      </c>
      <c r="C32" s="39" t="inlineStr">
        <is>
          <t>*CC=CC*</t>
        </is>
      </c>
      <c r="D32" s="39" t="n">
        <v>530</v>
      </c>
      <c r="E32" s="39" t="inlineStr">
        <is>
          <t>A</t>
        </is>
      </c>
      <c r="F32" s="39" t="inlineStr">
        <is>
          <t>Static light scattering; good solvent</t>
        </is>
      </c>
      <c r="G32" s="39" t="n"/>
      <c r="H32" s="39" t="n">
        <v>960000</v>
      </c>
      <c r="I32" s="39" t="n"/>
      <c r="J32" s="39" t="inlineStr">
        <is>
          <t>cyclohexane solution</t>
        </is>
      </c>
      <c r="K32" s="39" t="n"/>
      <c r="L32" s="39" t="inlineStr">
        <is>
          <t>NO</t>
        </is>
      </c>
      <c r="M32" s="39" t="inlineStr">
        <is>
          <t>RG_SLS</t>
        </is>
      </c>
      <c r="N32" s="39" t="inlineStr">
        <is>
          <t>Different definition/condition: use as mechanistic reference, not a universal target.</t>
        </is>
      </c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9" t="inlineStr">
        <is>
          <t>RG</t>
        </is>
      </c>
      <c r="B33" s="39" t="inlineStr">
        <is>
          <t>PEO/PEG 76-mer</t>
        </is>
      </c>
      <c r="C33" s="39" t="inlineStr">
        <is>
          <t>*OCC*</t>
        </is>
      </c>
      <c r="D33" s="39" t="n">
        <v>19.1</v>
      </c>
      <c r="E33" s="39" t="inlineStr">
        <is>
          <t>A</t>
        </is>
      </c>
      <c r="F33" s="39" t="inlineStr">
        <is>
          <t>76-mer PEO model benchmarked to equal-size PEG neutron scattering</t>
        </is>
      </c>
      <c r="G33" s="39" t="n"/>
      <c r="H33" s="39" t="n">
        <v>3400</v>
      </c>
      <c r="I33" s="39" t="n">
        <v>76</v>
      </c>
      <c r="J33" s="39" t="inlineStr">
        <is>
          <t>water / equal-size PEG experimental benchmark</t>
        </is>
      </c>
      <c r="K33" s="39" t="n"/>
      <c r="L33" s="39" t="inlineStr">
        <is>
          <t>CONDITIONAL</t>
        </is>
      </c>
      <c r="M33" s="39" t="inlineStr">
        <is>
          <t>RG_PEO</t>
        </is>
      </c>
      <c r="N33" s="39" t="inlineStr">
        <is>
          <t>Potentially usable only after matching the AI target protocol/chain length/state.</t>
        </is>
      </c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9" t="inlineStr">
        <is>
          <t>RG</t>
        </is>
      </c>
      <c r="B34" s="39" t="inlineStr">
        <is>
          <t>PB concentration 5.0 g/L</t>
        </is>
      </c>
      <c r="C34" s="39" t="inlineStr">
        <is>
          <t>*CC=CC*</t>
        </is>
      </c>
      <c r="D34" s="39" t="n">
        <v>143</v>
      </c>
      <c r="E34" s="39" t="inlineStr">
        <is>
          <t>A</t>
        </is>
      </c>
      <c r="F34" s="39" t="inlineStr">
        <is>
          <t>Apparent Rg from light scattering</t>
        </is>
      </c>
      <c r="G34" s="39" t="n"/>
      <c r="H34" s="39" t="n">
        <v>270000</v>
      </c>
      <c r="I34" s="39" t="n"/>
      <c r="J34" s="39" t="inlineStr">
        <is>
          <t>CHCl3, 5.0 g/L</t>
        </is>
      </c>
      <c r="K34" s="39" t="n"/>
      <c r="L34" s="39" t="inlineStr">
        <is>
          <t>NO</t>
        </is>
      </c>
      <c r="M34" s="39" t="inlineStr">
        <is>
          <t>RG_PB_CONC</t>
        </is>
      </c>
      <c r="N34" s="39" t="inlineStr">
        <is>
          <t>Different definition/condition: use as mechanistic reference, not a universal target.</t>
        </is>
      </c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9" t="inlineStr">
        <is>
          <t>RG</t>
        </is>
      </c>
      <c r="B35" s="39" t="inlineStr">
        <is>
          <t>PB concentration 2.9 g/L</t>
        </is>
      </c>
      <c r="C35" s="39" t="inlineStr">
        <is>
          <t>*CC=CC*</t>
        </is>
      </c>
      <c r="D35" s="39" t="n">
        <v>221</v>
      </c>
      <c r="E35" s="39" t="inlineStr">
        <is>
          <t>A</t>
        </is>
      </c>
      <c r="F35" s="39" t="inlineStr">
        <is>
          <t>Apparent Rg from light scattering</t>
        </is>
      </c>
      <c r="G35" s="39" t="n"/>
      <c r="H35" s="39" t="n">
        <v>270000</v>
      </c>
      <c r="I35" s="39" t="n"/>
      <c r="J35" s="39" t="inlineStr">
        <is>
          <t>CHCl3, 2.9 g/L</t>
        </is>
      </c>
      <c r="K35" s="39" t="n"/>
      <c r="L35" s="39" t="inlineStr">
        <is>
          <t>NO</t>
        </is>
      </c>
      <c r="M35" s="39" t="inlineStr">
        <is>
          <t>RG_PB_CONC</t>
        </is>
      </c>
      <c r="N35" s="39" t="inlineStr">
        <is>
          <t>Different definition/condition: use as mechanistic reference, not a universal target.</t>
        </is>
      </c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9" t="inlineStr">
        <is>
          <t>RG</t>
        </is>
      </c>
      <c r="B36" s="39" t="inlineStr">
        <is>
          <t>PB concentration 1.2 g/L</t>
        </is>
      </c>
      <c r="C36" s="39" t="inlineStr">
        <is>
          <t>*CC=CC*</t>
        </is>
      </c>
      <c r="D36" s="39" t="n">
        <v>374</v>
      </c>
      <c r="E36" s="39" t="inlineStr">
        <is>
          <t>A</t>
        </is>
      </c>
      <c r="F36" s="39" t="inlineStr">
        <is>
          <t>Apparent Rg from light scattering</t>
        </is>
      </c>
      <c r="G36" s="39" t="n"/>
      <c r="H36" s="39" t="n">
        <v>270000</v>
      </c>
      <c r="I36" s="39" t="n"/>
      <c r="J36" s="39" t="inlineStr">
        <is>
          <t>CHCl3, 1.2 g/L</t>
        </is>
      </c>
      <c r="K36" s="39" t="n"/>
      <c r="L36" s="39" t="inlineStr">
        <is>
          <t>NO</t>
        </is>
      </c>
      <c r="M36" s="39" t="inlineStr">
        <is>
          <t>RG_PB_CONC</t>
        </is>
      </c>
      <c r="N36" s="39" t="inlineStr">
        <is>
          <t>Different definition/condition: use as mechanistic reference, not a universal target.</t>
        </is>
      </c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1">
    <mergeCell ref="A1:N2"/>
  </mergeCells>
  <conditionalFormatting sqref="L5:L36">
    <cfRule type="expression" priority="1" dxfId="2">
      <formula>L5="NO"</formula>
    </cfRule>
    <cfRule type="expression" priority="2" dxfId="1">
      <formula>L5="CONDITIONAL"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34" customWidth="1" min="4" max="4"/>
    <col width="42" customWidth="1" min="5" max="5"/>
    <col width="28" customWidth="1" min="6" max="6"/>
    <col width="11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24" customWidth="1" min="13" max="13"/>
    <col width="52" customWidth="1" min="14" max="14"/>
  </cols>
  <sheetData>
    <row r="1">
      <c r="A1" s="43" t="inlineStr">
        <is>
          <t>Industrial / Tire Copolymers &amp; Blends — composition-sensitive references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152" t="inlineStr">
        <is>
          <t>Acronym</t>
        </is>
      </c>
      <c r="B4" s="152" t="inlineStr">
        <is>
          <t>Material</t>
        </is>
      </c>
      <c r="C4" s="152" t="inlineStr">
        <is>
          <t>Use</t>
        </is>
      </c>
      <c r="D4" s="152" t="inlineStr">
        <is>
          <t>Composition</t>
        </is>
      </c>
      <c r="E4" s="152" t="inlineStr">
        <is>
          <t>SMILES guidance</t>
        </is>
      </c>
      <c r="F4" s="152" t="inlineStr">
        <is>
          <t>Composition/grade</t>
        </is>
      </c>
      <c r="G4" s="152" t="inlineStr">
        <is>
          <t>Tg_Min_C</t>
        </is>
      </c>
      <c r="H4" s="152" t="inlineStr">
        <is>
          <t>Tg_Max_C</t>
        </is>
      </c>
      <c r="I4" s="152" t="inlineStr">
        <is>
          <t>Density_Min</t>
        </is>
      </c>
      <c r="J4" s="152" t="inlineStr">
        <is>
          <t>Density_Max</t>
        </is>
      </c>
      <c r="K4" s="152" t="inlineStr">
        <is>
          <t>Tc_Min</t>
        </is>
      </c>
      <c r="L4" s="152" t="inlineStr">
        <is>
          <t>Tc_Max</t>
        </is>
      </c>
      <c r="M4" s="152" t="inlineStr">
        <is>
          <t>Source_IDs</t>
        </is>
      </c>
      <c r="N4" s="152" t="inlineStr">
        <is>
          <t>Notes</t>
        </is>
      </c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39" t="inlineStr">
        <is>
          <t>SBR</t>
        </is>
      </c>
      <c r="B5" s="39" t="inlineStr">
        <is>
          <t>Styrene-butadiene rubber</t>
        </is>
      </c>
      <c r="C5" s="39" t="inlineStr">
        <is>
          <t>Tire tread / carcass</t>
        </is>
      </c>
      <c r="D5" s="39" t="inlineStr">
        <is>
          <t>Styrene + butadiene random copolymer</t>
        </is>
      </c>
      <c r="E5" s="39" t="inlineStr">
        <is>
          <t>No single unique repeat-unit SMILES</t>
        </is>
      </c>
      <c r="F5" s="39" t="inlineStr">
        <is>
          <t>23.5 wt% styrene example</t>
        </is>
      </c>
      <c r="G5" s="39" t="n">
        <v>-70</v>
      </c>
      <c r="H5" s="39" t="n">
        <v>-50</v>
      </c>
      <c r="I5" s="39" t="n">
        <v>0.9350000000000001</v>
      </c>
      <c r="J5" s="39" t="n">
        <v>0.9399999999999999</v>
      </c>
      <c r="K5" s="39" t="n"/>
      <c r="L5" s="39" t="n"/>
      <c r="M5" s="39" t="inlineStr">
        <is>
          <t>SBR_PROP;SBR_NR_DENS</t>
        </is>
      </c>
      <c r="N5" s="39" t="inlineStr">
        <is>
          <t>Tg strongly composition/microstructure/crosslink dependent.</t>
        </is>
      </c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39" t="inlineStr">
        <is>
          <t>SBR-vulc</t>
        </is>
      </c>
      <c r="B6" s="39" t="inlineStr">
        <is>
          <t>Vulcanized SBR</t>
        </is>
      </c>
      <c r="C6" s="39" t="inlineStr">
        <is>
          <t>Tire rubber</t>
        </is>
      </c>
      <c r="D6" s="39" t="inlineStr">
        <is>
          <t>23.5 wt% styrene SBR; sulfur-crosslinked</t>
        </is>
      </c>
      <c r="E6" s="39" t="inlineStr">
        <is>
          <t>No single unique repeat-unit SMILES</t>
        </is>
      </c>
      <c r="F6" s="39" t="inlineStr">
        <is>
          <t>S = 1.04 to 8.28 phr</t>
        </is>
      </c>
      <c r="G6" s="39" t="n">
        <v>-54</v>
      </c>
      <c r="H6" s="39" t="n">
        <v>-37.1</v>
      </c>
      <c r="I6" s="39" t="n"/>
      <c r="J6" s="39" t="n"/>
      <c r="K6" s="39" t="n"/>
      <c r="L6" s="39" t="n"/>
      <c r="M6" s="39" t="inlineStr">
        <is>
          <t>SBR_TG</t>
        </is>
      </c>
      <c r="N6" s="39" t="inlineStr">
        <is>
          <t>DSC Tg increases with sulfur/crosslinking; exact values 219.17–236.10 K.</t>
        </is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39" t="inlineStr">
        <is>
          <t>NBR</t>
        </is>
      </c>
      <c r="B7" s="39" t="inlineStr">
        <is>
          <t>Nitrile-butadiene rubber</t>
        </is>
      </c>
      <c r="C7" s="39" t="inlineStr">
        <is>
          <t>Oil-resistant rubber / special tire uses</t>
        </is>
      </c>
      <c r="D7" s="39" t="inlineStr">
        <is>
          <t>Acrylonitrile + butadiene copolymer</t>
        </is>
      </c>
      <c r="E7" s="39" t="inlineStr">
        <is>
          <t>No single unique repeat-unit SMILES</t>
        </is>
      </c>
      <c r="F7" s="39" t="inlineStr">
        <is>
          <t>39% AN example</t>
        </is>
      </c>
      <c r="G7" s="39" t="n"/>
      <c r="H7" s="39" t="n"/>
      <c r="I7" s="39" t="n">
        <v>0.99</v>
      </c>
      <c r="J7" s="39" t="n">
        <v>0.99</v>
      </c>
      <c r="K7" s="39" t="n">
        <v>0.157</v>
      </c>
      <c r="L7" s="39" t="n">
        <v>0.157</v>
      </c>
      <c r="M7" s="39" t="inlineStr">
        <is>
          <t>NBR_DENS;NBR_TC</t>
        </is>
      </c>
      <c r="N7" s="39" t="inlineStr">
        <is>
          <t>Tg varies strongly with acrylonitrile content.</t>
        </is>
      </c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39" t="inlineStr">
        <is>
          <t>HNBR</t>
        </is>
      </c>
      <c r="B8" s="39" t="inlineStr">
        <is>
          <t>Hydrogenated NBR</t>
        </is>
      </c>
      <c r="C8" s="39" t="inlineStr">
        <is>
          <t>Seals / high-temperature elastomer</t>
        </is>
      </c>
      <c r="D8" s="39" t="inlineStr">
        <is>
          <t>Hydrogenated NBR copolymer</t>
        </is>
      </c>
      <c r="E8" s="39" t="inlineStr">
        <is>
          <t>No single unique repeat-unit SMILES</t>
        </is>
      </c>
      <c r="F8" s="39" t="inlineStr">
        <is>
          <t>36 wt% ACN example</t>
        </is>
      </c>
      <c r="G8" s="39" t="n">
        <v>-25.15</v>
      </c>
      <c r="H8" s="39" t="n">
        <v>-25.15</v>
      </c>
      <c r="I8" s="39" t="n">
        <v>0.95</v>
      </c>
      <c r="J8" s="39" t="n">
        <v>0.95</v>
      </c>
      <c r="K8" s="39" t="n"/>
      <c r="L8" s="39" t="n"/>
      <c r="M8" s="39" t="inlineStr">
        <is>
          <t>HNBR_EPDM</t>
        </is>
      </c>
      <c r="N8" s="39" t="inlineStr">
        <is>
          <t>Experimental reference in source: Tg 248 K, density 0.95.</t>
        </is>
      </c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39" t="inlineStr">
        <is>
          <t>EPDM</t>
        </is>
      </c>
      <c r="B9" s="39" t="inlineStr">
        <is>
          <t>Ethylene-propylene-diene rubber</t>
        </is>
      </c>
      <c r="C9" s="39" t="inlineStr">
        <is>
          <t>Sidewall / weather-resistant rubber</t>
        </is>
      </c>
      <c r="D9" s="39" t="inlineStr">
        <is>
          <t>Ethylene + propylene + ENB terpolymer</t>
        </is>
      </c>
      <c r="E9" s="39" t="inlineStr">
        <is>
          <t>No single unique repeat-unit SMILES</t>
        </is>
      </c>
      <c r="F9" s="39" t="inlineStr">
        <is>
          <t>54/38/8 wt% E/P/ENB example</t>
        </is>
      </c>
      <c r="G9" s="39" t="n">
        <v>-55.15</v>
      </c>
      <c r="H9" s="39" t="n">
        <v>-55.15</v>
      </c>
      <c r="I9" s="39" t="n">
        <v>0.86</v>
      </c>
      <c r="J9" s="39" t="n">
        <v>0.86</v>
      </c>
      <c r="K9" s="39" t="n"/>
      <c r="L9" s="39" t="n"/>
      <c r="M9" s="39" t="inlineStr">
        <is>
          <t>HNBR_EPDM</t>
        </is>
      </c>
      <c r="N9" s="39" t="inlineStr">
        <is>
          <t>Experimental reference in source: Tg 218 K, density 0.86.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39" t="inlineStr">
        <is>
          <t>IIR</t>
        </is>
      </c>
      <c r="B10" s="39" t="inlineStr">
        <is>
          <t>Butyl rubber</t>
        </is>
      </c>
      <c r="C10" s="39" t="inlineStr">
        <is>
          <t>Inner liner / air retention</t>
        </is>
      </c>
      <c r="D10" s="39" t="inlineStr">
        <is>
          <t>Isobutylene + small isoprene fraction</t>
        </is>
      </c>
      <c r="E10" s="39" t="inlineStr">
        <is>
          <t>PIB backbone is a useful proxy: *CC(C)(C)*</t>
        </is>
      </c>
      <c r="F10" s="39" t="inlineStr">
        <is>
          <t>1.6% isoprene commercial IIR</t>
        </is>
      </c>
      <c r="G10" s="39" t="n"/>
      <c r="H10" s="39" t="n"/>
      <c r="I10" s="39" t="n">
        <v>0.92</v>
      </c>
      <c r="J10" s="39" t="n">
        <v>0.92</v>
      </c>
      <c r="K10" s="39" t="n"/>
      <c r="L10" s="39" t="n"/>
      <c r="M10" s="39" t="inlineStr">
        <is>
          <t>IIR</t>
        </is>
      </c>
      <c r="N10" s="39" t="inlineStr">
        <is>
          <t>Do not treat pure PIB SMILES as a full IIR composition.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39" t="inlineStr">
        <is>
          <t>NR/SBR blend</t>
        </is>
      </c>
      <c r="B11" s="39" t="inlineStr">
        <is>
          <t>Natural rubber + SBR blend</t>
        </is>
      </c>
      <c r="C11" s="39" t="inlineStr">
        <is>
          <t>Tire compound</t>
        </is>
      </c>
      <c r="D11" s="39" t="inlineStr">
        <is>
          <t>Blend, not a single polymer</t>
        </is>
      </c>
      <c r="E11" s="39" t="inlineStr">
        <is>
          <t>Not representable by one repeat SMILES</t>
        </is>
      </c>
      <c r="F11" s="39" t="inlineStr">
        <is>
          <t>Source reports neat precursor densities</t>
        </is>
      </c>
      <c r="G11" s="39" t="n"/>
      <c r="H11" s="39" t="n"/>
      <c r="I11" s="39" t="n">
        <v>0.917</v>
      </c>
      <c r="J11" s="39" t="n">
        <v>0.9350000000000001</v>
      </c>
      <c r="K11" s="39" t="n"/>
      <c r="L11" s="39" t="n"/>
      <c r="M11" s="39" t="inlineStr">
        <is>
          <t>SBR_NR_DENS</t>
        </is>
      </c>
      <c r="N11" s="39" t="inlineStr">
        <is>
          <t>NR density 0.917; SBR 0.935 g/cm3 at room temperature.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39" t="inlineStr">
        <is>
          <t>ABS</t>
        </is>
      </c>
      <c r="B12" s="39" t="inlineStr">
        <is>
          <t>Acrylonitrile-butadiene-styrene</t>
        </is>
      </c>
      <c r="C12" s="39" t="inlineStr">
        <is>
          <t>Engineering plastic</t>
        </is>
      </c>
      <c r="D12" s="39" t="inlineStr">
        <is>
          <t>Terpolymer</t>
        </is>
      </c>
      <c r="E12" s="39" t="inlineStr">
        <is>
          <t>No single unique repeat-unit SMILES</t>
        </is>
      </c>
      <c r="F12" s="39" t="inlineStr">
        <is>
          <t>Grade-dependent</t>
        </is>
      </c>
      <c r="G12" s="39" t="n">
        <v>100</v>
      </c>
      <c r="H12" s="39" t="n">
        <v>100</v>
      </c>
      <c r="I12" s="39" t="n">
        <v>0.99</v>
      </c>
      <c r="J12" s="39" t="n">
        <v>1.1</v>
      </c>
      <c r="K12" s="39" t="n">
        <v>0.18</v>
      </c>
      <c r="L12" s="39" t="n">
        <v>0.32</v>
      </c>
      <c r="M12" s="39" t="inlineStr">
        <is>
          <t>PLASTICS_BOOK;TC_ENG</t>
        </is>
      </c>
      <c r="N12" s="39" t="inlineStr">
        <is>
          <t>Not a tire elastomer; useful OOD/industrial validation.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39" t="inlineStr">
        <is>
          <t>SAN</t>
        </is>
      </c>
      <c r="B13" s="39" t="inlineStr">
        <is>
          <t>Styrene-acrylonitrile</t>
        </is>
      </c>
      <c r="C13" s="39" t="inlineStr">
        <is>
          <t>Engineering plastic</t>
        </is>
      </c>
      <c r="D13" s="39" t="inlineStr">
        <is>
          <t>Styrene + acrylonitrile copolymer</t>
        </is>
      </c>
      <c r="E13" s="39" t="inlineStr">
        <is>
          <t>No single unique repeat-unit SMILES</t>
        </is>
      </c>
      <c r="F13" s="39" t="inlineStr">
        <is>
          <t>Grade-dependent</t>
        </is>
      </c>
      <c r="G13" s="39" t="n">
        <v>100</v>
      </c>
      <c r="H13" s="39" t="n">
        <v>100</v>
      </c>
      <c r="I13" s="39" t="n">
        <v>1.08</v>
      </c>
      <c r="J13" s="39" t="n">
        <v>1.08</v>
      </c>
      <c r="K13" s="39" t="n">
        <v>0.12</v>
      </c>
      <c r="L13" s="39" t="n">
        <v>0.13</v>
      </c>
      <c r="M13" s="39" t="inlineStr">
        <is>
          <t>PLASTICS_BOOK;TC_ENG</t>
        </is>
      </c>
      <c r="N13" s="39" t="inlineStr">
        <is>
          <t>Composition-dependent.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1">
    <mergeCell ref="A1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00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0" customWidth="1" min="3" max="3"/>
    <col width="28" customWidth="1" min="4" max="4"/>
    <col width="70" customWidth="1" min="5" max="5"/>
    <col width="42" customWidth="1" min="6" max="6"/>
    <col width="62" customWidth="1" min="7" max="7"/>
  </cols>
  <sheetData>
    <row r="1">
      <c r="A1" s="43" t="inlineStr">
        <is>
          <t>Source Register — URLs are plain text for traceability</t>
        </is>
      </c>
      <c r="B1" s="1" t="n"/>
      <c r="C1" s="1" t="n"/>
      <c r="D1" s="1" t="n"/>
      <c r="E1" s="1" t="n"/>
      <c r="F1" s="1" t="n"/>
      <c r="G1" s="1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</row>
    <row r="2">
      <c r="A2" s="1" t="n"/>
      <c r="B2" s="1" t="n"/>
      <c r="C2" s="1" t="n"/>
      <c r="D2" s="1" t="n"/>
      <c r="E2" s="1" t="n"/>
      <c r="F2" s="1" t="n"/>
      <c r="G2" s="1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</row>
    <row r="4">
      <c r="A4" s="40" t="inlineStr">
        <is>
          <t>Source_ID</t>
        </is>
      </c>
      <c r="B4" s="40" t="inlineStr">
        <is>
          <t>Title</t>
        </is>
      </c>
      <c r="C4" s="40" t="inlineStr">
        <is>
          <t>Year</t>
        </is>
      </c>
      <c r="D4" s="40" t="inlineStr">
        <is>
          <t>Type</t>
        </is>
      </c>
      <c r="E4" s="40" t="inlineStr">
        <is>
          <t>URL</t>
        </is>
      </c>
      <c r="F4" s="40" t="inlineStr">
        <is>
          <t>Used_for</t>
        </is>
      </c>
      <c r="G4" s="40" t="inlineStr">
        <is>
          <t>Quality / comparability note</t>
        </is>
      </c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</row>
    <row r="5">
      <c r="A5" s="39" t="inlineStr">
        <is>
          <t>ENG_DENS</t>
        </is>
      </c>
      <c r="B5" s="39" t="inlineStr">
        <is>
          <t>ScienceDirect Topics — Engineering plastics / polymer material property tables</t>
        </is>
      </c>
      <c r="C5" s="39" t="str"/>
      <c r="D5" s="39" t="inlineStr">
        <is>
          <t>Elsevier reference aggregation</t>
        </is>
      </c>
      <c r="E5" s="39" t="inlineStr">
        <is>
          <t>https://www.sciencedirect.com/topics/engineering/polymer-material</t>
        </is>
      </c>
      <c r="F5" s="39" t="inlineStr">
        <is>
          <t>Selected density values for PBT, PA12 and engineering polymers</t>
        </is>
      </c>
      <c r="G5" s="39" t="inlineStr">
        <is>
          <t>Used where a direct table value was surfaced.</t>
        </is>
      </c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</row>
    <row r="6">
      <c r="A6" s="39" t="inlineStr">
        <is>
          <t>FFV_PS</t>
        </is>
      </c>
      <c r="B6" s="39" t="inlineStr">
        <is>
          <t>The Relationship between Free Volume and Cooperative Rearrangement: From the Temperature-Dependent Neutron Total Scattering Experiment of Polystyrene</t>
        </is>
      </c>
      <c r="C6" s="39" t="n">
        <v>2021</v>
      </c>
      <c r="D6" s="39" t="inlineStr">
        <is>
          <t>Peer-reviewed experimental/model analysis</t>
        </is>
      </c>
      <c r="E6" s="39" t="inlineStr">
        <is>
          <t>https://pmc.ncbi.nlm.nih.gov/articles/PMC8470135/</t>
        </is>
      </c>
      <c r="F6" s="39" t="inlineStr">
        <is>
          <t>Fractional excess free volume at Tg for PDMS, PB, PIB, PVAc, PMMA, PS</t>
        </is>
      </c>
      <c r="G6" s="39" t="inlineStr">
        <is>
          <t>Definition is fractional EXCESS free volume near Tg, not necessarily the same geometric FFV target used by the AI model.</t>
        </is>
      </c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</row>
    <row r="7">
      <c r="A7" s="39" t="inlineStr">
        <is>
          <t>HNBR_EPDM</t>
        </is>
      </c>
      <c r="B7" s="39" t="inlineStr">
        <is>
          <t>Molecular simulations of gas transport in hydrogenated nitrile butadiene rubber and ethylene-propylene-diene rubber</t>
        </is>
      </c>
      <c r="C7" s="39" t="n">
        <v>2020</v>
      </c>
      <c r="D7" s="39" t="inlineStr">
        <is>
          <t>Peer-reviewed study with experimental references</t>
        </is>
      </c>
      <c r="E7" s="39" t="inlineStr">
        <is>
          <t>https://pmc.ncbi.nlm.nih.gov/articles/PMC9051154/</t>
        </is>
      </c>
      <c r="F7" s="39" t="inlineStr">
        <is>
          <t>Experimental HNBR/EPDM density and Tg</t>
        </is>
      </c>
      <c r="G7" s="39" t="inlineStr">
        <is>
          <t>Table 1: HNBR exp rho 0.95, Tg 248 K; EPDM exp rho 0.86, Tg 218 K.</t>
        </is>
      </c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</row>
    <row r="8">
      <c r="A8" s="39" t="inlineStr">
        <is>
          <t>IIR</t>
        </is>
      </c>
      <c r="B8" s="39" t="inlineStr">
        <is>
          <t>Influence of Alternating Multi-Layered Design on Damping Characteristics of Butyl Rubber Composites</t>
        </is>
      </c>
      <c r="C8" s="39" t="n">
        <v>2022</v>
      </c>
      <c r="D8" s="39" t="inlineStr">
        <is>
          <t>Peer-reviewed experiment</t>
        </is>
      </c>
      <c r="E8" s="39" t="inlineStr">
        <is>
          <t>https://www.mdpi.com/2073-4360/14/24/5484</t>
        </is>
      </c>
      <c r="F8" s="39" t="inlineStr">
        <is>
          <t>Commercial IIR density</t>
        </is>
      </c>
      <c r="G8" s="39" t="inlineStr">
        <is>
          <t>BK1675N butyl rubber, 1.6% isoprene, density 0.92 g/cm3.</t>
        </is>
      </c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</row>
    <row r="9">
      <c r="A9" s="39" t="inlineStr">
        <is>
          <t>MERCK_TG</t>
        </is>
      </c>
      <c r="B9" s="39" t="inlineStr">
        <is>
          <t>Thermal Transitions of Homopolymers: Glass Transition &amp; Melting Point</t>
        </is>
      </c>
      <c r="C9" s="39" t="str"/>
      <c r="D9" s="39" t="inlineStr">
        <is>
          <t>Technical literature compilation</t>
        </is>
      </c>
      <c r="E9" s="39" t="inlineStr">
        <is>
          <t>https://www.merckmillipore.com/ST/en/technical-documents/technical-article/materials-science-and-engineering/polymer-synthesis/thermal-transitions-of-homopolymers</t>
        </is>
      </c>
      <c r="F9" s="39" t="inlineStr">
        <is>
          <t>Large homopolymer Tg library</t>
        </is>
      </c>
      <c r="G9" s="39" t="inlineStr">
        <is>
          <t>Merck explicitly warns Tg varies with MW, tacticity, thermal history, purity and method.</t>
        </is>
      </c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</row>
    <row r="10">
      <c r="A10" s="39" t="inlineStr">
        <is>
          <t>NBR_DENS</t>
        </is>
      </c>
      <c r="B10" s="39" t="inlineStr">
        <is>
          <t>Entanglements, Defects, and Inhomogeneities in Nitrile Butadiene Rubbers</t>
        </is>
      </c>
      <c r="C10" s="39" t="n">
        <v>2016</v>
      </c>
      <c r="D10" s="39" t="inlineStr">
        <is>
          <t>Peer-reviewed experiment</t>
        </is>
      </c>
      <c r="E10" s="39" t="inlineStr">
        <is>
          <t>https://pubs.acs.org/doi/10.1021/acs.macromol.6b01802</t>
        </is>
      </c>
      <c r="F10" s="39" t="inlineStr">
        <is>
          <t>NBR/HNBR density and molecular weights</t>
        </is>
      </c>
      <c r="G10" s="39" t="inlineStr">
        <is>
          <t>39% AN NBR density 0.99 g/cm3; HNBR same AN content density 0.95 g/cm3.</t>
        </is>
      </c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</row>
    <row r="11">
      <c r="A11" s="39" t="inlineStr">
        <is>
          <t>NBR_TC</t>
        </is>
      </c>
      <c r="B11" s="39" t="inlineStr">
        <is>
          <t>Novel nitrile-butadiene rubber composites with enhanced thermal conductivity and high dielectric constant</t>
        </is>
      </c>
      <c r="C11" s="39" t="n">
        <v>2019</v>
      </c>
      <c r="D11" s="39" t="inlineStr">
        <is>
          <t>Peer-reviewed experiment</t>
        </is>
      </c>
      <c r="E11" s="39" t="inlineStr">
        <is>
          <t>https://www.sciencedirect.com/science/article/pii/S1359835X19301903</t>
        </is>
      </c>
      <c r="F11" s="39" t="inlineStr">
        <is>
          <t>Pure NBR thermal conductivity</t>
        </is>
      </c>
      <c r="G11" s="39" t="inlineStr">
        <is>
          <t>Pure NBR matrix k = 0.157 W/mK in the cited study.</t>
        </is>
      </c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</row>
    <row r="12">
      <c r="A12" s="39" t="inlineStr">
        <is>
          <t>PALS_REVIEW</t>
        </is>
      </c>
      <c r="B12" s="39" t="inlineStr">
        <is>
          <t>Positron Annihilation Lifetime Spectroscopy for Free-Volume Holes in Polymers</t>
        </is>
      </c>
      <c r="C12" s="39" t="n">
        <v>2023</v>
      </c>
      <c r="D12" s="39" t="inlineStr">
        <is>
          <t>Peer-reviewed review</t>
        </is>
      </c>
      <c r="E12" s="39" t="inlineStr">
        <is>
          <t>https://pmc.ncbi.nlm.nih.gov/articles/PMC10386335/</t>
        </is>
      </c>
      <c r="F12" s="39" t="inlineStr">
        <is>
          <t>PALS hole radius / intensity for many polymers</t>
        </is>
      </c>
      <c r="G12" s="39" t="inlineStr">
        <is>
          <t>PALS hole size/intensity is not a direct FFV fraction.</t>
        </is>
      </c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</row>
    <row r="13">
      <c r="A13" s="39" t="inlineStr">
        <is>
          <t>PLASTICS_BOOK</t>
        </is>
      </c>
      <c r="B13" s="39" t="inlineStr">
        <is>
          <t>Plastics: Microstructure and Engineering Applications, 4th ed. — Table 1.2</t>
        </is>
      </c>
      <c r="C13" s="39" t="n">
        <v>2020</v>
      </c>
      <c r="D13" s="39" t="inlineStr">
        <is>
          <t>Elsevier textbook</t>
        </is>
      </c>
      <c r="E13" s="39" t="inlineStr">
        <is>
          <t>https://www.sciencedirect.com/book/monograph/9780081024997/plastics</t>
        </is>
      </c>
      <c r="F13" s="39" t="inlineStr">
        <is>
          <t>Density and Tg of major commodity/engineering polymers</t>
        </is>
      </c>
      <c r="G13" s="39" t="inlineStr">
        <is>
          <t>Density ranges reflect crystallinity/grade where applicable.</t>
        </is>
      </c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</row>
    <row r="14">
      <c r="A14" s="39" t="inlineStr">
        <is>
          <t>POLYACRYLATE</t>
        </is>
      </c>
      <c r="B14" s="39" t="inlineStr">
        <is>
          <t>Polymer free-volume / density study including PS and polyacrylates</t>
        </is>
      </c>
      <c r="C14" s="39" t="n">
        <v>2021</v>
      </c>
      <c r="D14" s="39" t="inlineStr">
        <is>
          <t>Peer-reviewed experiment</t>
        </is>
      </c>
      <c r="E14" s="39" t="inlineStr">
        <is>
          <t>https://pmc.ncbi.nlm.nih.gov/articles/PMC8309325/</t>
        </is>
      </c>
      <c r="F14" s="39" t="inlineStr">
        <is>
          <t>PMA/PEA/PBA/PEHA Tg and density series</t>
        </is>
      </c>
      <c r="G14" s="39" t="inlineStr">
        <is>
          <t>Useful homologous side-chain validation series.</t>
        </is>
      </c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</row>
    <row r="15">
      <c r="A15" s="39" t="inlineStr">
        <is>
          <t>RG_PB_CONC</t>
        </is>
      </c>
      <c r="B15" s="39" t="inlineStr">
        <is>
          <t>Solvent-Dependent Light-Induced Structures in Gem-Dichlorocyclopropanated Polybutadiene Solutions</t>
        </is>
      </c>
      <c r="C15" s="39" t="n">
        <v>2018</v>
      </c>
      <c r="D15" s="39" t="inlineStr">
        <is>
          <t>Peer-reviewed light scattering</t>
        </is>
      </c>
      <c r="E15" s="39" t="inlineStr">
        <is>
          <t>https://pmc.ncbi.nlm.nih.gov/articles/PMC6122843/</t>
        </is>
      </c>
      <c r="F15" s="39" t="inlineStr">
        <is>
          <t>PB Rg concentration dependence</t>
        </is>
      </c>
      <c r="G15" s="39" t="inlineStr">
        <is>
          <t>Same Mw PB gives very different apparent Rg with concentration; useful warning for direct AI comparison.</t>
        </is>
      </c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</row>
    <row r="16">
      <c r="A16" s="39" t="inlineStr">
        <is>
          <t>RG_PEO</t>
        </is>
      </c>
      <c r="B16" s="39" t="inlineStr">
        <is>
          <t>A Coarse-Grained Model for Polyethylene Oxide and Polyethylene Glycol: Conformation and Hydrodynamics</t>
        </is>
      </c>
      <c r="C16" s="39" t="n">
        <v>2009</v>
      </c>
      <c r="D16" s="39" t="inlineStr">
        <is>
          <t>Peer-reviewed simulation benchmarked to neutron scattering</t>
        </is>
      </c>
      <c r="E16" s="39" t="inlineStr">
        <is>
          <t>https://pubs.acs.org/doi/10.1021/jp9058966</t>
        </is>
      </c>
      <c r="F16" s="39" t="inlineStr">
        <is>
          <t>PEO/PEG 76-mer Rg</t>
        </is>
      </c>
      <c r="G16" s="39" t="inlineStr">
        <is>
          <t>Rg 19.1 +/-0.7 A in model, reported as excellent agreement with equal-sized PEG neutron scattering.</t>
        </is>
      </c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</row>
    <row r="17">
      <c r="A17" s="39" t="inlineStr">
        <is>
          <t>RG_PS</t>
        </is>
      </c>
      <c r="B17" s="39" t="inlineStr">
        <is>
          <t>Measurement of molecular dimensions of polystyrene chains in the bulk polymer by low angle neutron diffraction</t>
        </is>
      </c>
      <c r="C17" s="39" t="n">
        <v>1973</v>
      </c>
      <c r="D17" s="39" t="inlineStr">
        <is>
          <t>Peer-reviewed experiment</t>
        </is>
      </c>
      <c r="E17" s="39" t="inlineStr">
        <is>
          <t>https://www.sciencedirect.com/science/article/pii/0014305773900591</t>
        </is>
      </c>
      <c r="F17" s="39" t="inlineStr">
        <is>
          <t>Bulk PS Rg = 90 A at Ma=97,200</t>
        </is>
      </c>
      <c r="G17" s="39" t="inlineStr">
        <is>
          <t>Rg is molecular-weight and state dependent.</t>
        </is>
      </c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</row>
    <row r="18">
      <c r="A18" s="39" t="inlineStr">
        <is>
          <t>RG_SLS</t>
        </is>
      </c>
      <c r="B18" s="39" t="inlineStr">
        <is>
          <t>On the Number of Blobs per Entanglement in Semidilute and Good Solvent Solution: Melt Influence</t>
        </is>
      </c>
      <c r="C18" s="39" t="n">
        <v>1995</v>
      </c>
      <c r="D18" s="39" t="inlineStr">
        <is>
          <t>Peer-reviewed static light scattering</t>
        </is>
      </c>
      <c r="E18" s="39" t="inlineStr">
        <is>
          <t>https://pubs.acs.org/doi/10.1021/ma00108a020</t>
        </is>
      </c>
      <c r="F18" s="39" t="inlineStr">
        <is>
          <t>PS/PI/PB Rg vs molecular weight</t>
        </is>
      </c>
      <c r="G18" s="39" t="inlineStr">
        <is>
          <t>Solution SLS values; not directly comparable to a fixed-chain MD Rg unless MW/condition are matched.</t>
        </is>
      </c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</row>
    <row r="19">
      <c r="A19" s="39" t="inlineStr">
        <is>
          <t>RUBBER_PALS</t>
        </is>
      </c>
      <c r="B19" s="39" t="inlineStr">
        <is>
          <t>Shape and Temperature Expansion of Free Volume Holes in Some Cured Polybutadiene-Polyisoprene Rubber Blends</t>
        </is>
      </c>
      <c r="C19" s="39" t="n">
        <v>2021</v>
      </c>
      <c r="D19" s="39" t="inlineStr">
        <is>
          <t>Peer-reviewed experimental</t>
        </is>
      </c>
      <c r="E19" s="39" t="inlineStr">
        <is>
          <t>https://pmc.ncbi.nlm.nih.gov/articles/PMC7867040/</t>
        </is>
      </c>
      <c r="F19" s="39" t="inlineStr">
        <is>
          <t>High-cis PB/PI density, Tg and PALS free-volume-hole information</t>
        </is>
      </c>
      <c r="G19" s="39" t="inlineStr">
        <is>
          <t>Samples are peroxide-cured high-cis rubbers; not identical to untreated neat chains.</t>
        </is>
      </c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</row>
    <row r="20">
      <c r="A20" s="39" t="inlineStr">
        <is>
          <t>RUBBER_TC</t>
        </is>
      </c>
      <c r="B20" s="39" t="inlineStr">
        <is>
          <t>Thermal Conductivity of Polyisoprene and Polybutadiene from Molecular Dynamics Simulations and Transient Measurements</t>
        </is>
      </c>
      <c r="C20" s="39" t="n">
        <v>2020</v>
      </c>
      <c r="D20" s="39" t="inlineStr">
        <is>
          <t>Peer-reviewed experimental + simulation</t>
        </is>
      </c>
      <c r="E20" s="39" t="inlineStr">
        <is>
          <t>https://pmc.ncbi.nlm.nih.gov/articles/PMC7284750/</t>
        </is>
      </c>
      <c r="F20" s="39" t="inlineStr">
        <is>
          <t>Untreated PI/PB thermal conductivity</t>
        </is>
      </c>
      <c r="G20" s="39" t="inlineStr">
        <is>
          <t>Transient hot-wire measurements; PI ~0.14 W/mK at 22 C.</t>
        </is>
      </c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</row>
    <row r="21">
      <c r="A21" s="39" t="inlineStr">
        <is>
          <t>SBR_NR_DENS</t>
        </is>
      </c>
      <c r="B21" s="39" t="inlineStr">
        <is>
          <t>Thermal properties in cured natural rubber/styrene butadiene rubber blends</t>
        </is>
      </c>
      <c r="C21" s="39" t="n">
        <v>2008</v>
      </c>
      <c r="D21" s="39" t="inlineStr">
        <is>
          <t>Peer-reviewed experiment</t>
        </is>
      </c>
      <c r="E21" s="39" t="inlineStr">
        <is>
          <t>https://www.sciencedirect.com/science/article/pii/S0014305708000815</t>
        </is>
      </c>
      <c r="F21" s="39" t="inlineStr">
        <is>
          <t>NR and SBR room-temperature density</t>
        </is>
      </c>
      <c r="G21" s="39" t="inlineStr">
        <is>
          <t>NR 0.917 g/cm3, SBR 0.935 g/cm3; Mn values also reported.</t>
        </is>
      </c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</row>
    <row r="22">
      <c r="A22" s="39" t="inlineStr">
        <is>
          <t>SBR_PROP</t>
        </is>
      </c>
      <c r="B22" s="39" t="inlineStr">
        <is>
          <t>Temperature dependence of the interfacial bonding characteristics of silica/styrene butadiene rubber composites</t>
        </is>
      </c>
      <c r="C22" s="39" t="n">
        <v>2019</v>
      </c>
      <c r="D22" s="39" t="inlineStr">
        <is>
          <t>Peer-reviewed study citing experimental literature</t>
        </is>
      </c>
      <c r="E22" s="39" t="inlineStr">
        <is>
          <t>https://pmc.ncbi.nlm.nih.gov/articles/PMC9076183/</t>
        </is>
      </c>
      <c r="F22" s="39" t="inlineStr">
        <is>
          <t>Unmodified SBR experimental density and Tg range</t>
        </is>
      </c>
      <c r="G22" s="39" t="inlineStr">
        <is>
          <t>Reports literature experimental SBR density ~0.94 g/cm3 and Tg -50 to -70 C.</t>
        </is>
      </c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</row>
    <row r="23">
      <c r="A23" s="39" t="inlineStr">
        <is>
          <t>SBR_TG</t>
        </is>
      </c>
      <c r="B23" s="39" t="inlineStr">
        <is>
          <t>Effect of Cross-Linking Density on Non-Linear Viscoelasticity of Vulcanized SBR</t>
        </is>
      </c>
      <c r="C23" s="39" t="n">
        <v>2023</v>
      </c>
      <c r="D23" s="39" t="inlineStr">
        <is>
          <t>Peer-reviewed experiment + MD</t>
        </is>
      </c>
      <c r="E23" s="39" t="inlineStr">
        <is>
          <t>https://pmc.ncbi.nlm.nih.gov/articles/PMC10298670/</t>
        </is>
      </c>
      <c r="F23" s="39" t="inlineStr">
        <is>
          <t>DSC Tg of sulfur-crosslinked SBR vs sulfur content</t>
        </is>
      </c>
      <c r="G23" s="39" t="inlineStr">
        <is>
          <t>23.5 wt% styrene SBR; Tg shifts with crosslinking.</t>
        </is>
      </c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</row>
    <row r="24">
      <c r="A24" s="39" t="inlineStr">
        <is>
          <t>TC_ENG</t>
        </is>
      </c>
      <c r="B24" s="39" t="inlineStr">
        <is>
          <t>Comprehensive Composite Materials — Thermoplastics: Properties tables</t>
        </is>
      </c>
      <c r="C24" s="39" t="n">
        <v>2000</v>
      </c>
      <c r="D24" s="39" t="inlineStr">
        <is>
          <t>Elsevier reference work</t>
        </is>
      </c>
      <c r="E24" s="39" t="inlineStr">
        <is>
          <t>https://www.sciencedirect.com/referencework/9780080429939/comprehensive-composite-materials</t>
        </is>
      </c>
      <c r="F24" s="39" t="inlineStr">
        <is>
          <t>Engineering thermal-conductivity and density ranges</t>
        </is>
      </c>
      <c r="G24" s="39" t="inlineStr">
        <is>
          <t>Broad engineering ranges; grade/crystallinity/orientation dependent.</t>
        </is>
      </c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</row>
    <row r="25">
      <c r="A25" s="39" t="inlineStr">
        <is>
          <t>TC_REVIEW</t>
        </is>
      </c>
      <c r="B25" s="39" t="inlineStr">
        <is>
          <t>Thermal Conductivity of Polymers: A Simple Matter Where Complexity Matters</t>
        </is>
      </c>
      <c r="C25" s="39" t="n">
        <v>2024</v>
      </c>
      <c r="D25" s="39" t="inlineStr">
        <is>
          <t>Peer-reviewed review</t>
        </is>
      </c>
      <c r="E25" s="39" t="inlineStr">
        <is>
          <t>https://pmc.ncbi.nlm.nih.gov/articles/PMC11661673/</t>
        </is>
      </c>
      <c r="F25" s="39" t="inlineStr">
        <is>
          <t>Experimental thermal conductivity and Tg for PLA, PS, PMMA, PVA, PAA, PAM</t>
        </is>
      </c>
      <c r="G25" s="39" t="inlineStr">
        <is>
          <t>PNIPAM thermal conductivity in that table is simulation; excluded from direct experimental Tc.</t>
        </is>
      </c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</row>
  </sheetData>
  <mergeCells count="1">
    <mergeCell ref="A1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2026-08-15T14:19:45Z</dcterms:created>
  <dcterms:modified xsi:type="dcterms:W3CDTF">2026-08-15T14:20:29Z</dcterms:modified>
</cp:coreProperties>
</file>